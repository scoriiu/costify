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KPI Complet" sheetId="1" state="visible" r:id="rId3"/>
    <sheet name="🧮 Calculator KPI" sheetId="2" state="visible" r:id="rId4"/>
    <sheet name="🚦 Scorecard Semafoare" sheetId="3" state="visible" r:id="rId5"/>
    <sheet name="📐 Formule Avansate" sheetId="4" state="visible" r:id="rId6"/>
    <sheet name="📖 Ghi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<sst xmlns="http://schemas.openxmlformats.org/spreadsheetml/2006/main" count="603" uniqueCount="462">
  <si>
    <t xml:space="preserve">📊  KPI-uri Esențiale &amp; Formule – Ghid CFO</t>
  </si>
  <si>
    <t xml:space="preserve">Categorie / KPI</t>
  </si>
  <si>
    <t xml:space="preserve">Denumire Completă</t>
  </si>
  <si>
    <t xml:space="preserve">Formulă Excel</t>
  </si>
  <si>
    <t xml:space="preserve">Unitate</t>
  </si>
  <si>
    <t xml:space="preserve">Target ✓</t>
  </si>
  <si>
    <t xml:space="preserve">Alarmă ⚠</t>
  </si>
  <si>
    <t xml:space="preserve">Frecvență</t>
  </si>
  <si>
    <t xml:space="preserve">Interpretare</t>
  </si>
  <si>
    <t xml:space="preserve">  PROFITABILITATE</t>
  </si>
  <si>
    <t xml:space="preserve">Marja Brută %</t>
  </si>
  <si>
    <t xml:space="preserve">Gross Profit Margin</t>
  </si>
  <si>
    <t xml:space="preserve">=(venituri-cogs)/venituri</t>
  </si>
  <si>
    <t xml:space="preserve">%</t>
  </si>
  <si>
    <t xml:space="preserve">&gt;30%</t>
  </si>
  <si>
    <t xml:space="preserve">&lt;20%</t>
  </si>
  <si>
    <t xml:space="preserve">Lunar</t>
  </si>
  <si>
    <t xml:space="preserve">Sănătatea de bază a modelului de business. Primul semnal vital.</t>
  </si>
  <si>
    <t xml:space="preserve">Marja EBITDA %</t>
  </si>
  <si>
    <t xml:space="preserve">EBITDA Margin</t>
  </si>
  <si>
    <t xml:space="preserve">=ebitda/venituri</t>
  </si>
  <si>
    <t xml:space="preserve">&gt;15%</t>
  </si>
  <si>
    <t xml:space="preserve">&lt;8%</t>
  </si>
  <si>
    <t xml:space="preserve">Profitabilitate operațională pură, fără finanțare și politici contabile.</t>
  </si>
  <si>
    <t xml:space="preserve">Marja EBIT %</t>
  </si>
  <si>
    <t xml:space="preserve">Operating Profit Margin</t>
  </si>
  <si>
    <t xml:space="preserve">=ebit/venituri</t>
  </si>
  <si>
    <t xml:space="preserve">&gt;12%</t>
  </si>
  <si>
    <t xml:space="preserve">&lt;5%</t>
  </si>
  <si>
    <t xml:space="preserve">Profitabilitate după amortizare, înainte de costuri financiare.</t>
  </si>
  <si>
    <t xml:space="preserve">Marja Netă %</t>
  </si>
  <si>
    <t xml:space="preserve">Net Profit Margin</t>
  </si>
  <si>
    <t xml:space="preserve">=profit_net/venituri</t>
  </si>
  <si>
    <t xml:space="preserve">&gt;10%</t>
  </si>
  <si>
    <t xml:space="preserve">&lt;3%</t>
  </si>
  <si>
    <t xml:space="preserve">Ce rămâne pentru acționari din fiecare leu de vânzări.</t>
  </si>
  <si>
    <t xml:space="preserve">ROE %</t>
  </si>
  <si>
    <t xml:space="preserve">Return on Equity</t>
  </si>
  <si>
    <t xml:space="preserve">=profit_net/capital_propriu</t>
  </si>
  <si>
    <t xml:space="preserve">Anual</t>
  </si>
  <si>
    <t xml:space="preserve">Randamentul generat pentru acționari din capitalul investit.</t>
  </si>
  <si>
    <t xml:space="preserve">ROA %</t>
  </si>
  <si>
    <t xml:space="preserve">Return on Assets</t>
  </si>
  <si>
    <t xml:space="preserve">=profit_net/total_active</t>
  </si>
  <si>
    <t xml:space="preserve">&gt;5%</t>
  </si>
  <si>
    <t xml:space="preserve">&lt;2%</t>
  </si>
  <si>
    <t xml:space="preserve">Eficiența utilizării tuturor activelor companiei.</t>
  </si>
  <si>
    <t xml:space="preserve">ROCE %</t>
  </si>
  <si>
    <t xml:space="preserve">Return on Capital Employed</t>
  </si>
  <si>
    <t xml:space="preserve">=ebit/(total_active-datorii_curente)</t>
  </si>
  <si>
    <t xml:space="preserve">&lt;6%</t>
  </si>
  <si>
    <t xml:space="preserve">Dacă ROCE &gt; cost capital → creăm valoare. Dacă nu → distrugem.</t>
  </si>
  <si>
    <t xml:space="preserve">ROI %</t>
  </si>
  <si>
    <t xml:space="preserve">Return on Investment</t>
  </si>
  <si>
    <t xml:space="preserve">=(câștig-cost_investiție)/cost_investiție</t>
  </si>
  <si>
    <t xml:space="preserve">&gt;20%</t>
  </si>
  <si>
    <t xml:space="preserve">Per proiect</t>
  </si>
  <si>
    <t xml:space="preserve">Randamentul unui proiect sau investiții specifice.</t>
  </si>
  <si>
    <t xml:space="preserve">  LICHIDITATE</t>
  </si>
  <si>
    <t xml:space="preserve">Rata Curentă</t>
  </si>
  <si>
    <t xml:space="preserve">Current Ratio</t>
  </si>
  <si>
    <t xml:space="preserve">=active_curente/datorii_curente</t>
  </si>
  <si>
    <t xml:space="preserve">x</t>
  </si>
  <si>
    <t xml:space="preserve">&gt;2.0x</t>
  </si>
  <si>
    <t xml:space="preserve">&lt;1.0x</t>
  </si>
  <si>
    <t xml:space="preserve">Capacitatea de a plăti datoriile pe termen scurt. Sub 1 = risc imediat.</t>
  </si>
  <si>
    <t xml:space="preserve">Rata Rapidă</t>
  </si>
  <si>
    <t xml:space="preserve">Quick Ratio / Acid Test</t>
  </si>
  <si>
    <t xml:space="preserve">=(active_curente-stocuri)/datorii_curente</t>
  </si>
  <si>
    <t xml:space="preserve">&gt;1.0x</t>
  </si>
  <si>
    <t xml:space="preserve">&lt;0.7x</t>
  </si>
  <si>
    <t xml:space="preserve">Test mai strict: exclude stocurile (nelichide rapid).</t>
  </si>
  <si>
    <t xml:space="preserve">Cash Ratio</t>
  </si>
  <si>
    <t xml:space="preserve">=cash/datorii_curente</t>
  </si>
  <si>
    <t xml:space="preserve">&gt;0.5x</t>
  </si>
  <si>
    <t xml:space="preserve">&lt;0.2x</t>
  </si>
  <si>
    <t xml:space="preserve">Cel mai conservator: doar cash și echivalente vs. datorii curente.</t>
  </si>
  <si>
    <t xml:space="preserve">Capitalul de Lucru</t>
  </si>
  <si>
    <t xml:space="preserve">Net Working Capital</t>
  </si>
  <si>
    <t xml:space="preserve">=active_curente-datorii_curente</t>
  </si>
  <si>
    <t xml:space="preserve">Lei</t>
  </si>
  <si>
    <t xml:space="preserve">&gt;0</t>
  </si>
  <si>
    <t xml:space="preserve">&lt;0</t>
  </si>
  <si>
    <t xml:space="preserve">Resurse disponibile pentru operațiuni zilnice. Negativ = problemă.</t>
  </si>
  <si>
    <t xml:space="preserve">Flux Numerar Op.</t>
  </si>
  <si>
    <t xml:space="preserve">Operating Cash Flow</t>
  </si>
  <si>
    <t xml:space="preserve">=profit_net+amortizare±ΔCapital_Lucru</t>
  </si>
  <si>
    <t xml:space="preserve">Cash generat din activitatea de bază. Profit ≠ Cash!</t>
  </si>
  <si>
    <t xml:space="preserve">  EFICIENȚĂ OPERAȚIONALĂ</t>
  </si>
  <si>
    <t xml:space="preserve">DSO (zile)</t>
  </si>
  <si>
    <t xml:space="preserve">Days Sales Outstanding</t>
  </si>
  <si>
    <t xml:space="preserve">=creante_clienti/venituri*365</t>
  </si>
  <si>
    <t xml:space="preserve">Zile</t>
  </si>
  <si>
    <t xml:space="preserve">&lt;45</t>
  </si>
  <si>
    <t xml:space="preserve">&gt;90</t>
  </si>
  <si>
    <t xml:space="preserve">Câte zile durează să încasezi de la clienți. Mai mic = mai bine.</t>
  </si>
  <si>
    <t xml:space="preserve">DPO (zile)</t>
  </si>
  <si>
    <t xml:space="preserve">Days Payable Outstanding</t>
  </si>
  <si>
    <t xml:space="preserve">=datorii_furnizori/cogs*365</t>
  </si>
  <si>
    <t xml:space="preserve">30-60</t>
  </si>
  <si>
    <t xml:space="preserve">&lt;15</t>
  </si>
  <si>
    <t xml:space="preserve">Câte zile îți plătești furnizorii. Prea mic = nu ești eficient cu cash.</t>
  </si>
  <si>
    <t xml:space="preserve">DIO (zile)</t>
  </si>
  <si>
    <t xml:space="preserve">Days Inventory Outstanding</t>
  </si>
  <si>
    <t xml:space="preserve">=stoc_mediu/cogs*365</t>
  </si>
  <si>
    <t xml:space="preserve">&lt;60</t>
  </si>
  <si>
    <t xml:space="preserve">&gt;120</t>
  </si>
  <si>
    <t xml:space="preserve">Câte zile stocul stă pe raft. Mai mic = rotație mai bună.</t>
  </si>
  <si>
    <t xml:space="preserve">Ciclu Numerar</t>
  </si>
  <si>
    <t xml:space="preserve">Cash Conversion Cycle</t>
  </si>
  <si>
    <t xml:space="preserve">=dso+dio-dpo</t>
  </si>
  <si>
    <t xml:space="preserve">&lt;30</t>
  </si>
  <si>
    <t xml:space="preserve">Câte zile cash-ul e blocat în ciclul operațional. Negativ = ideal.</t>
  </si>
  <si>
    <t xml:space="preserve">Rotație Active</t>
  </si>
  <si>
    <t xml:space="preserve">Asset Turnover</t>
  </si>
  <si>
    <t xml:space="preserve">=venituri/total_active</t>
  </si>
  <si>
    <t xml:space="preserve">&gt;1.5x</t>
  </si>
  <si>
    <t xml:space="preserve">&lt;0.5x</t>
  </si>
  <si>
    <t xml:space="preserve">Câți lei de vânzări generezi din fiecare leu de active.</t>
  </si>
  <si>
    <t xml:space="preserve">Rotație Stocuri</t>
  </si>
  <si>
    <t xml:space="preserve">Inventory Turnover</t>
  </si>
  <si>
    <t xml:space="preserve">=cogs/stoc_mediu</t>
  </si>
  <si>
    <t xml:space="preserve">&gt;6x</t>
  </si>
  <si>
    <t xml:space="preserve">&lt;2x</t>
  </si>
  <si>
    <t xml:space="preserve">De câte ori se rotește stocul pe an. Mai mare = eficiență mai bună.</t>
  </si>
  <si>
    <t xml:space="preserve">  ÎNDATORARE &amp; STRUCTURĂ FINANCIARĂ</t>
  </si>
  <si>
    <t xml:space="preserve">Debt/Equity</t>
  </si>
  <si>
    <t xml:space="preserve">Debt-to-Equity Ratio</t>
  </si>
  <si>
    <t xml:space="preserve">=total_datorii/capital_propriu</t>
  </si>
  <si>
    <t xml:space="preserve">Trimestrial</t>
  </si>
  <si>
    <t xml:space="preserve">Gradul de finanțare din datorii vs. capital propriu.</t>
  </si>
  <si>
    <t xml:space="preserve">Debt/EBITDA</t>
  </si>
  <si>
    <t xml:space="preserve">Net Debt / EBITDA</t>
  </si>
  <si>
    <t xml:space="preserve">=(datorii_purtătoare_dobândă-cash)/ebitda</t>
  </si>
  <si>
    <t xml:space="preserve">&lt;3.0x</t>
  </si>
  <si>
    <t xml:space="preserve">&gt;5.0x</t>
  </si>
  <si>
    <t xml:space="preserve">Câți ani de EBITDA sunt necesari să plătești datoria netă.</t>
  </si>
  <si>
    <t xml:space="preserve">Acoperire Dobânzi</t>
  </si>
  <si>
    <t xml:space="preserve">Interest Coverage Ratio</t>
  </si>
  <si>
    <t xml:space="preserve">=ebit/cheltuieli_dobânzi</t>
  </si>
  <si>
    <t xml:space="preserve">&gt;3.0x</t>
  </si>
  <si>
    <t xml:space="preserve">&lt;1.5x</t>
  </si>
  <si>
    <t xml:space="preserve">Capacitatea de a plăti dobânzile din profit operațional.</t>
  </si>
  <si>
    <t xml:space="preserve">Grad Îndatorare</t>
  </si>
  <si>
    <t xml:space="preserve">Leverage Ratio / Gearing</t>
  </si>
  <si>
    <t xml:space="preserve">=total_datorii/total_active</t>
  </si>
  <si>
    <t xml:space="preserve">&lt;40%</t>
  </si>
  <si>
    <t xml:space="preserve">&gt;70%</t>
  </si>
  <si>
    <t xml:space="preserve">Ponderea datoriilor în totalul activelor. Riscul financiar global.</t>
  </si>
  <si>
    <t xml:space="preserve">  CREȘTERE &amp; COMERCIAL</t>
  </si>
  <si>
    <t xml:space="preserve">Creștere Venituri</t>
  </si>
  <si>
    <t xml:space="preserve">Revenue Growth Rate YoY</t>
  </si>
  <si>
    <t xml:space="preserve">=(venituri_an_curent/venituri_an_prec)-1</t>
  </si>
  <si>
    <t xml:space="preserve">&lt;0%</t>
  </si>
  <si>
    <t xml:space="preserve">Ritmul de creștere față de aceeași perioadă a anului trecut.</t>
  </si>
  <si>
    <t xml:space="preserve">Creștere Organică</t>
  </si>
  <si>
    <t xml:space="preserve">Organic Growth Rate</t>
  </si>
  <si>
    <t xml:space="preserve">=(venituri_fără_achiz/venituri_py)-1</t>
  </si>
  <si>
    <t xml:space="preserve">Creștere din activitatea proprie, excluzând achizițiile.</t>
  </si>
  <si>
    <t xml:space="preserve">CAC</t>
  </si>
  <si>
    <t xml:space="preserve">Customer Acquisition Cost</t>
  </si>
  <si>
    <t xml:space="preserve">=chelt_marketing_vânzări/nr_clienți_noi</t>
  </si>
  <si>
    <t xml:space="preserve">&lt;LTV/3</t>
  </si>
  <si>
    <t xml:space="preserve">&gt;LTV</t>
  </si>
  <si>
    <t xml:space="preserve">Costul de a câștiga un client nou. Trebuie să fie mult sub LTV.</t>
  </si>
  <si>
    <t xml:space="preserve">LTV</t>
  </si>
  <si>
    <t xml:space="preserve">Customer Lifetime Value</t>
  </si>
  <si>
    <t xml:space="preserve">=venit_mediu_client*marja%*durata_relație</t>
  </si>
  <si>
    <t xml:space="preserve">&gt;3xCAC</t>
  </si>
  <si>
    <t xml:space="preserve">&lt;CAC</t>
  </si>
  <si>
    <t xml:space="preserve">Valoarea totală generată de un client pe durata relației.</t>
  </si>
  <si>
    <t xml:space="preserve">LTV/CAC</t>
  </si>
  <si>
    <t xml:space="preserve">LTV to CAC Ratio</t>
  </si>
  <si>
    <t xml:space="preserve">=ltv/cac</t>
  </si>
  <si>
    <t xml:space="preserve">Raportul de eficiență al achiziției de clienți. Sub 1 = pierdem bani.</t>
  </si>
  <si>
    <t xml:space="preserve">Churn Rate</t>
  </si>
  <si>
    <t xml:space="preserve">Customer Churn Rate</t>
  </si>
  <si>
    <t xml:space="preserve">=clienți_pierduți_perioadă/clienți_start</t>
  </si>
  <si>
    <t xml:space="preserve">Rata de pierdere a clienților. Ucigaș silențios în SaaS/abonamente.</t>
  </si>
  <si>
    <t xml:space="preserve">Net Promoter Score</t>
  </si>
  <si>
    <t xml:space="preserve">NPS – Satisfacție Clienți</t>
  </si>
  <si>
    <t xml:space="preserve">=% promotori (9-10) - % detractori (0-6)</t>
  </si>
  <si>
    <t xml:space="preserve">pct</t>
  </si>
  <si>
    <t xml:space="preserve">&gt;50</t>
  </si>
  <si>
    <t xml:space="preserve">&lt;20</t>
  </si>
  <si>
    <t xml:space="preserve">Loialitatea clienților. Predictor al creșterii organice.</t>
  </si>
  <si>
    <t xml:space="preserve">  HR &amp; PRODUCTIVITATE</t>
  </si>
  <si>
    <t xml:space="preserve">Venit/Angajat</t>
  </si>
  <si>
    <t xml:space="preserve">Revenue per Employee</t>
  </si>
  <si>
    <t xml:space="preserve">=venituri_totale/nr_angajați</t>
  </si>
  <si>
    <t xml:space="preserve">Trend↑</t>
  </si>
  <si>
    <t xml:space="preserve">Trend↓</t>
  </si>
  <si>
    <t xml:space="preserve">Productivitatea forței de muncă. Urmărește trendul, nu benchmark absolut.</t>
  </si>
  <si>
    <t xml:space="preserve">Cost Personal %</t>
  </si>
  <si>
    <t xml:space="preserve">Personnel Cost Ratio</t>
  </si>
  <si>
    <t xml:space="preserve">=total_cost_personal/venituri</t>
  </si>
  <si>
    <t xml:space="preserve">&lt;25%</t>
  </si>
  <si>
    <t xml:space="preserve">&gt;40%</t>
  </si>
  <si>
    <t xml:space="preserve">Ponderea costurilor de personal în venituri. Variază mult pe industrie.</t>
  </si>
  <si>
    <t xml:space="preserve">Absenteism %</t>
  </si>
  <si>
    <t xml:space="preserve">Absenteeism Rate</t>
  </si>
  <si>
    <t xml:space="preserve">=zile_absență/(nr_angajați*zile_lucr)</t>
  </si>
  <si>
    <t xml:space="preserve">&gt;8%</t>
  </si>
  <si>
    <t xml:space="preserve">Indicator timpuriu al problemelor de cultură organizațională sau sănătate.</t>
  </si>
  <si>
    <t xml:space="preserve">Fluctuație %</t>
  </si>
  <si>
    <t xml:space="preserve">Employee Turnover Rate</t>
  </si>
  <si>
    <t xml:space="preserve">=plecări_voluntare/nr_mediu_angajați</t>
  </si>
  <si>
    <t xml:space="preserve">&lt;10%</t>
  </si>
  <si>
    <t xml:space="preserve">&gt;25%</t>
  </si>
  <si>
    <t xml:space="preserve">Costul unui angajat plecat = 50-200% din salariul anual (recrutare+onboarding).</t>
  </si>
  <si>
    <t xml:space="preserve">Profit/Angajat</t>
  </si>
  <si>
    <t xml:space="preserve">Profit per Employee</t>
  </si>
  <si>
    <t xml:space="preserve">=ebitda/nr_angajați</t>
  </si>
  <si>
    <t xml:space="preserve">Eficiența profitabilității per resursă umană.</t>
  </si>
  <si>
    <t xml:space="preserve">  OPERAȚIONAL – MANUFACTURING</t>
  </si>
  <si>
    <t xml:space="preserve">OEE %</t>
  </si>
  <si>
    <t xml:space="preserve">Overall Equipment Effectiveness</t>
  </si>
  <si>
    <t xml:space="preserve">=disponibilitate%*performanță%*calitate%</t>
  </si>
  <si>
    <t xml:space="preserve">&gt;85%</t>
  </si>
  <si>
    <t xml:space="preserve">&lt;65%</t>
  </si>
  <si>
    <t xml:space="preserve">Zilnic</t>
  </si>
  <si>
    <t xml:space="preserve">Indicatorul de aur al producției. Sub 65% = utilajul pierde bani.</t>
  </si>
  <si>
    <t xml:space="preserve">Rebut %</t>
  </si>
  <si>
    <t xml:space="preserve">Defect / Scrap Rate</t>
  </si>
  <si>
    <t xml:space="preserve">=nr_produse_defecte/total_produse</t>
  </si>
  <si>
    <t xml:space="preserve">Ponderea produselor neconforme. Direct în costul COGS.</t>
  </si>
  <si>
    <t xml:space="preserve">Cost/Unitate</t>
  </si>
  <si>
    <t xml:space="preserve">Cost per Unit</t>
  </si>
  <si>
    <t xml:space="preserve">=total_cost_producție/nr_unități</t>
  </si>
  <si>
    <t xml:space="preserve">Urmărește tendința – creșterile indică ineficiențe sau scumpiri inputuri.</t>
  </si>
  <si>
    <t xml:space="preserve">On-Time Delivery %</t>
  </si>
  <si>
    <t xml:space="preserve">OTD – Livrare la Termen</t>
  </si>
  <si>
    <t xml:space="preserve">=comenzi_livrate_la_termen/total_comenzi</t>
  </si>
  <si>
    <t xml:space="preserve">&gt;95%</t>
  </si>
  <si>
    <t xml:space="preserve">&lt;85%</t>
  </si>
  <si>
    <t xml:space="preserve">Săptămânal</t>
  </si>
  <si>
    <t xml:space="preserve">Impactează direct satisfacția clienților și DSO.</t>
  </si>
  <si>
    <t xml:space="preserve">Utilizare Capa. %</t>
  </si>
  <si>
    <t xml:space="preserve">Capacity Utilization Rate</t>
  </si>
  <si>
    <t xml:space="preserve">=producție_actuală/capacitate_maximă</t>
  </si>
  <si>
    <t xml:space="preserve">75-90%</t>
  </si>
  <si>
    <t xml:space="preserve">&lt;50%</t>
  </si>
  <si>
    <t xml:space="preserve">Sub 50% = supracapacitate costisitoare. Peste 95% = risc de epuizare.</t>
  </si>
  <si>
    <t xml:space="preserve">  DIGITAL &amp; SaaS</t>
  </si>
  <si>
    <t xml:space="preserve">MRR</t>
  </si>
  <si>
    <t xml:space="preserve">Monthly Recurring Revenue</t>
  </si>
  <si>
    <t xml:space="preserve">=nr_abonați*arpu_mediu</t>
  </si>
  <si>
    <t xml:space="preserve">Baza de venituri predictibile. Fundația oricărui business cu abonamente.</t>
  </si>
  <si>
    <t xml:space="preserve">ARR</t>
  </si>
  <si>
    <t xml:space="preserve">Annual Recurring Revenue</t>
  </si>
  <si>
    <t xml:space="preserve">=mrr*12</t>
  </si>
  <si>
    <t xml:space="preserve">Vizualizarea anualizată a bazei de abonamente.</t>
  </si>
  <si>
    <t xml:space="preserve">MRR Churn %</t>
  </si>
  <si>
    <t xml:space="preserve">MRR Churn Rate</t>
  </si>
  <si>
    <t xml:space="preserve">=mrr_pierdut/mrr_start_perioadă</t>
  </si>
  <si>
    <t xml:space="preserve">Churn pe valoare, nu pe număr clienți. Mai relevant financiar.</t>
  </si>
  <si>
    <t xml:space="preserve">Net Revenue Ret.</t>
  </si>
  <si>
    <t xml:space="preserve">Net Revenue Retention</t>
  </si>
  <si>
    <t xml:space="preserve">=(mrr_start+expansiune-churn)/mrr_start</t>
  </si>
  <si>
    <t xml:space="preserve">&gt;110%</t>
  </si>
  <si>
    <t xml:space="preserve">&lt;90%</t>
  </si>
  <si>
    <t xml:space="preserve">Peste 100% = expansion revenue compensează churn. Semn de sănătate.</t>
  </si>
  <si>
    <t xml:space="preserve">CAC Payback</t>
  </si>
  <si>
    <t xml:space="preserve">CAC Payback Period</t>
  </si>
  <si>
    <t xml:space="preserve">=cac/(arpu*marja_brută%)</t>
  </si>
  <si>
    <t xml:space="preserve">Luni</t>
  </si>
  <si>
    <t xml:space="preserve">&lt;12</t>
  </si>
  <si>
    <t xml:space="preserve">&gt;24</t>
  </si>
  <si>
    <t xml:space="preserve">Câte luni să recuperezi costul de achiziție al unui client.</t>
  </si>
  <si>
    <t xml:space="preserve">🧮  Calculator KPI Live – Introduceți datele în albastru</t>
  </si>
  <si>
    <t xml:space="preserve">  🔵 Albastru = date de intrare (modificați)   ⚫ Negru = formule automate   🟢 Verde = valori de referință</t>
  </si>
  <si>
    <t xml:space="preserve">  📥  DATE P&amp;L – Luna curentă (Lei)</t>
  </si>
  <si>
    <t xml:space="preserve">  📊  KPI-uri CALCULATE AUTOMAT</t>
  </si>
  <si>
    <t xml:space="preserve">Venituri Totale</t>
  </si>
  <si>
    <t xml:space="preserve">KPI</t>
  </si>
  <si>
    <t xml:space="preserve">Valoare</t>
  </si>
  <si>
    <t xml:space="preserve">✓ Target</t>
  </si>
  <si>
    <t xml:space="preserve">⚠ Alarmă</t>
  </si>
  <si>
    <t xml:space="preserve">Cost Bunuri Vândute (COGS)</t>
  </si>
  <si>
    <t xml:space="preserve">── PROFITABILITATE ──</t>
  </si>
  <si>
    <t xml:space="preserve">Cheltuieli Vânzare</t>
  </si>
  <si>
    <t xml:space="preserve">&gt; 30%</t>
  </si>
  <si>
    <t xml:space="preserve">&lt; 20%</t>
  </si>
  <si>
    <t xml:space="preserve">Cheltuieli Administrative</t>
  </si>
  <si>
    <t xml:space="preserve">&gt; 15%</t>
  </si>
  <si>
    <t xml:space="preserve">&lt; 8%</t>
  </si>
  <si>
    <t xml:space="preserve">Amortizare &amp; Depreciere</t>
  </si>
  <si>
    <t xml:space="preserve">&gt; 12%</t>
  </si>
  <si>
    <t xml:space="preserve">&lt; 5%</t>
  </si>
  <si>
    <t xml:space="preserve">Cheltuieli Financiare</t>
  </si>
  <si>
    <t xml:space="preserve">Profit Net (Lei)</t>
  </si>
  <si>
    <t xml:space="preserve">Trend ↑</t>
  </si>
  <si>
    <t xml:space="preserve">&lt; 0</t>
  </si>
  <si>
    <t xml:space="preserve">Impozit pe Profit (cota)</t>
  </si>
  <si>
    <t xml:space="preserve">&gt; 10%</t>
  </si>
  <si>
    <t xml:space="preserve">&lt; 3%</t>
  </si>
  <si>
    <t xml:space="preserve">── LICHIDITATE ──</t>
  </si>
  <si>
    <t xml:space="preserve">  📥  DATE BILANȚ &amp; EFICIENȚĂ</t>
  </si>
  <si>
    <t xml:space="preserve">&gt; 2.0x</t>
  </si>
  <si>
    <t xml:space="preserve">&lt; 1.0x</t>
  </si>
  <si>
    <t xml:space="preserve">Active Curente</t>
  </si>
  <si>
    <t xml:space="preserve">&gt; 1.0x</t>
  </si>
  <si>
    <t xml:space="preserve">&lt; 0.7x</t>
  </si>
  <si>
    <t xml:space="preserve">Stocuri</t>
  </si>
  <si>
    <t xml:space="preserve">Capital de Lucru</t>
  </si>
  <si>
    <t xml:space="preserve">&gt; 0</t>
  </si>
  <si>
    <t xml:space="preserve">Creanțe Clienți</t>
  </si>
  <si>
    <t xml:space="preserve">── EFICIENȚĂ ──</t>
  </si>
  <si>
    <t xml:space="preserve">Datorii Curente</t>
  </si>
  <si>
    <t xml:space="preserve">&lt; 45</t>
  </si>
  <si>
    <t xml:space="preserve">&gt; 90</t>
  </si>
  <si>
    <t xml:space="preserve">Datorii Furnizori</t>
  </si>
  <si>
    <t xml:space="preserve">&lt; 15</t>
  </si>
  <si>
    <t xml:space="preserve">Total Active</t>
  </si>
  <si>
    <t xml:space="preserve">&lt; 60</t>
  </si>
  <si>
    <t xml:space="preserve">&gt; 120</t>
  </si>
  <si>
    <t xml:space="preserve">Total Datorii</t>
  </si>
  <si>
    <t xml:space="preserve">&lt; 30</t>
  </si>
  <si>
    <t xml:space="preserve">  &gt; 90</t>
  </si>
  <si>
    <t xml:space="preserve">Capital Propriu</t>
  </si>
  <si>
    <t xml:space="preserve">── ÎNDATORARE ──</t>
  </si>
  <si>
    <t xml:space="preserve">EBIT (calculat mai jos)</t>
  </si>
  <si>
    <t xml:space="preserve">  &gt; 2.0x</t>
  </si>
  <si>
    <t xml:space="preserve">Nr. Angajați</t>
  </si>
  <si>
    <t xml:space="preserve">Grad Îndatorare %</t>
  </si>
  <si>
    <t xml:space="preserve">&lt; 40%</t>
  </si>
  <si>
    <t xml:space="preserve">&gt; 70%</t>
  </si>
  <si>
    <t xml:space="preserve">Stoc Mediu</t>
  </si>
  <si>
    <t xml:space="preserve">── PRODUCTIVITATE ──</t>
  </si>
  <si>
    <t xml:space="preserve">Venit / Angajat</t>
  </si>
  <si>
    <t xml:space="preserve">Trend ↓</t>
  </si>
  <si>
    <t xml:space="preserve">EBITDA / Angajat</t>
  </si>
  <si>
    <t xml:space="preserve">🚦  Scorecard Lunar – Semafoare KPI</t>
  </si>
  <si>
    <t xml:space="preserve">  Modificați valorile din coloana D (Actual). Starea se calculează automat.</t>
  </si>
  <si>
    <t xml:space="preserve">Target</t>
  </si>
  <si>
    <t xml:space="preserve">Actual</t>
  </si>
  <si>
    <t xml:space="preserve">vs Target</t>
  </si>
  <si>
    <t xml:space="preserve">Stare</t>
  </si>
  <si>
    <t xml:space="preserve">Trend</t>
  </si>
  <si>
    <t xml:space="preserve">Observație</t>
  </si>
  <si>
    <t xml:space="preserve">Venituri Totale (Lei)</t>
  </si>
  <si>
    <t xml:space="preserve">▲</t>
  </si>
  <si>
    <t xml:space="preserve">Luna mai buna decat planul</t>
  </si>
  <si>
    <t xml:space="preserve">→</t>
  </si>
  <si>
    <t xml:space="preserve">Usor sub target; monitorizare</t>
  </si>
  <si>
    <t xml:space="preserve">Peste plan; eficienta buna</t>
  </si>
  <si>
    <t xml:space="preserve">Aproape de target</t>
  </si>
  <si>
    <t xml:space="preserve">▼</t>
  </si>
  <si>
    <t xml:space="preserve">Incasare mai lenta; actiune</t>
  </si>
  <si>
    <t xml:space="preserve">Platim furnizorii repede</t>
  </si>
  <si>
    <t xml:space="preserve">Lichiditate buna</t>
  </si>
  <si>
    <t xml:space="preserve">Sub limita; pozitie buna</t>
  </si>
  <si>
    <t xml:space="preserve">Usor peste; in limite</t>
  </si>
  <si>
    <t xml:space="preserve">NPS Clienti</t>
  </si>
  <si>
    <t xml:space="preserve">In scadere; investigare</t>
  </si>
  <si>
    <t xml:space="preserve">  🟢 OK = ≥95% din target   🟡 ATENȚIE = 85-95% din target   🔴 ALERTĂ = &lt;85% din target   |   Modificați pragurile în formulele din coloana F</t>
  </si>
  <si>
    <t xml:space="preserve">📐  Formule Avansate &amp; Derivate – Calcule Complexe CFO</t>
  </si>
  <si>
    <t xml:space="preserve">KPI / Concept</t>
  </si>
  <si>
    <t xml:space="preserve">Formulă Completă</t>
  </si>
  <si>
    <t xml:space="preserve">Variante</t>
  </si>
  <si>
    <t xml:space="preserve">Notă / Atenție</t>
  </si>
  <si>
    <t xml:space="preserve">  CREȘTERE &amp; VARIANTE</t>
  </si>
  <si>
    <t xml:space="preserve">CAGR (Rată Creștere Compusă)</t>
  </si>
  <si>
    <t xml:space="preserve">=(valoare_final/valoare_initial)^(1/nr_ani)-1</t>
  </si>
  <si>
    <t xml:space="preserve">Ex: =(D10/D5)^(1/5)-1</t>
  </si>
  <si>
    <t xml:space="preserve">Folosiți pentru comparații pe perioade diferite. Nu confundați cu creșterea medie aritmetică.</t>
  </si>
  <si>
    <t xml:space="preserve">Creștere Like-for-Like (LFL)</t>
  </si>
  <si>
    <t xml:space="preserve">=(venituri_magazine_vechi_an_curent/venituri_magazine_vechi_an)-1</t>
  </si>
  <si>
    <t xml:space="preserve">Exclude magazine/unități noi</t>
  </si>
  <si>
    <t xml:space="preserve">Esential în retail. Separă creșterea organică de expansiunea rețelei.</t>
  </si>
  <si>
    <t xml:space="preserve">Varianta față de Budget (F/N)</t>
  </si>
  <si>
    <t xml:space="preserve">=actual-budget  →  IF(Actual&gt;Budget, "F", "N")</t>
  </si>
  <si>
    <t xml:space="preserve">Invers pentru costuri: IF(Actual&lt;Budget,"F","N")</t>
  </si>
  <si>
    <t xml:space="preserve">Atenție la direcție: pentru costuri, a cheltui mai puțin e Favorabil.</t>
  </si>
  <si>
    <t xml:space="preserve">  VALOARE &amp; EVALUARE</t>
  </si>
  <si>
    <t xml:space="preserve">EV (Enterprise Value)</t>
  </si>
  <si>
    <t xml:space="preserve">=capitaliz_bursieră + datorie_netă + interese_minoritare</t>
  </si>
  <si>
    <t xml:space="preserve">Datorie Netă = Datorii - Cash</t>
  </si>
  <si>
    <t xml:space="preserve">Valoarea totală a companiei pentru toți furnizorii de capital.</t>
  </si>
  <si>
    <t xml:space="preserve">EV/EBITDA Multiple</t>
  </si>
  <si>
    <t xml:space="preserve">=ev/ebitda</t>
  </si>
  <si>
    <t xml:space="preserve">Benchmark: 6-12x (variază pe industrie)</t>
  </si>
  <si>
    <t xml:space="preserve">Cel mai folosit multiplu de evaluare. Permite comparații cross-industrie.</t>
  </si>
  <si>
    <t xml:space="preserve">P/E Ratio</t>
  </si>
  <si>
    <t xml:space="preserve">=preț_acțiune/eps</t>
  </si>
  <si>
    <t xml:space="preserve">EPS = Profit_Net/Nr_Acțiuni</t>
  </si>
  <si>
    <t xml:space="preserve">Câți ani de profit plătești pentru o acțiune. Util pentru companii listate.</t>
  </si>
  <si>
    <t xml:space="preserve">WACC (Cost Mediu Capital)</t>
  </si>
  <si>
    <t xml:space="preserve">=we*(ke)+wd*(kd)*(1-t)</t>
  </si>
  <si>
    <t xml:space="preserve">We=ponderea capitalului propriu, Ke=costul capitalului propriu, Wd=ponderea datoriei, Kd=costul datoriei, t=cota impozit</t>
  </si>
  <si>
    <t xml:space="preserve">Rata minimă de rentabilitate cerută de investitori. Folosit în DCF.</t>
  </si>
  <si>
    <t xml:space="preserve">  CASH FLOW</t>
  </si>
  <si>
    <t xml:space="preserve">Free Cash Flow (FCF)</t>
  </si>
  <si>
    <t xml:space="preserve">=ebitda - impozit_pe_ebit - δcapital_lucru - capex</t>
  </si>
  <si>
    <t xml:space="preserve">CAPEX = Investiții nete în active</t>
  </si>
  <si>
    <t xml:space="preserve">Cash-ul disponibil după toate nevoile operaționale și de investiții.</t>
  </si>
  <si>
    <t xml:space="preserve">Conversie Cash %</t>
  </si>
  <si>
    <t xml:space="preserve">=free_cash_flow/ebitda</t>
  </si>
  <si>
    <t xml:space="preserve">Target: &gt;80%</t>
  </si>
  <si>
    <t xml:space="preserve">Cât din EBITDA se transformă efectiv în cash. Dacă e mic, investigați NWC.</t>
  </si>
  <si>
    <t xml:space="preserve">Capitalul de Lucru Net (NWC)</t>
  </si>
  <si>
    <t xml:space="preserve">=creanțe+stocuri-datorii_furnizori</t>
  </si>
  <si>
    <t xml:space="preserve">ΔNWCesti = Creștere NWC = cash consumat</t>
  </si>
  <si>
    <t xml:space="preserve">Creșterea NWC consumă cash. Companiile în creștere rapidă pot fi cash-negative.</t>
  </si>
  <si>
    <t xml:space="preserve">  SaaS &amp; ABONAMENTE</t>
  </si>
  <si>
    <t xml:space="preserve">LTV (Customer Lifetime Value)</t>
  </si>
  <si>
    <t xml:space="preserve">=arpu * marja_brută% / churn_rate_lunar%</t>
  </si>
  <si>
    <t xml:space="preserve">ARPU = Average Revenue Per User</t>
  </si>
  <si>
    <t xml:space="preserve">Dacă churn = 2%/lună, durata medie = 50 luni. LTV crește exponențial cu scăderea churn.</t>
  </si>
  <si>
    <t xml:space="preserve">Magic Number (SaaS)</t>
  </si>
  <si>
    <t xml:space="preserve">=(mrr_quarter_curent - mrr_quarter_anterior) * 4 / chelt_s&amp;m_quarter_anterior</t>
  </si>
  <si>
    <t xml:space="preserve">&gt; 0.75 = eficiență bună</t>
  </si>
  <si>
    <t xml:space="preserve">Măsoară eficiența cheltuielilor de vânzări în generarea de MRR nou.</t>
  </si>
  <si>
    <t xml:space="preserve">Rule of 40</t>
  </si>
  <si>
    <t xml:space="preserve">=creștere_venituri% + marja_ebitda%</t>
  </si>
  <si>
    <t xml:space="preserve">&gt; 40 = companie SaaS sănătoasă</t>
  </si>
  <si>
    <t xml:space="preserve">Companiile SaaS de top au sum(creștere + marjă) &gt; 40. Echilibru creștere vs. profitabilitate.</t>
  </si>
  <si>
    <t xml:space="preserve">Burn Multiple</t>
  </si>
  <si>
    <t xml:space="preserve">=net_burn / net_new_arr</t>
  </si>
  <si>
    <t xml:space="preserve">&lt; 1.0x = eficiență excelentă</t>
  </si>
  <si>
    <t xml:space="preserve">Câți $ cheltuiești pentru a genera $1 de ARR nou. Sub 1 = burn eficient.</t>
  </si>
  <si>
    <t xml:space="preserve">  MANUFACTURING</t>
  </si>
  <si>
    <t xml:space="preserve">OEE (Overall Equipment Effectiveness)</t>
  </si>
  <si>
    <t xml:space="preserve">=disponibilitate% * performanță% * calitate%</t>
  </si>
  <si>
    <t xml:space="preserve">Disponib=timp_util/timp_planif; Perf=viteza_actuala/viteza_ideala</t>
  </si>
  <si>
    <t xml:space="preserve">World class = &gt;85%. Sub 65% înseamnă că utilajul pierde bani activ.</t>
  </si>
  <si>
    <t xml:space="preserve">Throughput</t>
  </si>
  <si>
    <t xml:space="preserve">=venituri - cost_total_variabil</t>
  </si>
  <si>
    <t xml:space="preserve">Din Teoria Constrângerilor (TOC)</t>
  </si>
  <si>
    <t xml:space="preserve">Diferit de marja brută! Exclude toate costurile variabile, nu doar COGS.</t>
  </si>
  <si>
    <t xml:space="preserve">Costul Calității Slabe</t>
  </si>
  <si>
    <t xml:space="preserve">=rebut_valoric + reprelucrare + garanții + reclamații</t>
  </si>
  <si>
    <t xml:space="preserve">Benchmark: &lt;3% din venituri</t>
  </si>
  <si>
    <t xml:space="preserve">Multe companii nu calculează asta. E frecvent 5-15% din venituri.</t>
  </si>
  <si>
    <t xml:space="preserve">📖  Ghid de Utilizare – KPI Formulas Workbook</t>
  </si>
  <si>
    <t xml:space="preserve">📊 SHEET 1 – KPI Complet</t>
  </si>
  <si>
    <t xml:space="preserve">Referință completă: 50+ KPI-uri din 8 categorii (Profitabilitate, Lichiditate, Eficiență,</t>
  </si>
  <si>
    <t xml:space="preserve">Îndatorare, Comercial, HR, Manufacturing, SaaS). Fiecare cu formulă, target, alarmă și interpretare.</t>
  </si>
  <si>
    <t xml:space="preserve">Utilizare: consultare rapidă și educație. Nu necesită introducere de date.</t>
  </si>
  <si>
    <t xml:space="preserve">🧮 SHEET 2 – Calculator KPI Live</t>
  </si>
  <si>
    <t xml:space="preserve">Introduceți valorile reale în celulele albastre (coloana C) pentru a calcula automat KPI-urile.</t>
  </si>
  <si>
    <t xml:space="preserve">Toate celulele negre din coloana F sunt formule – nu le modificați.</t>
  </si>
  <si>
    <t xml:space="preserve">Secțiuni: P&amp;L (venituri, costuri, amortizare, impozit) + Bilanț (active, datorii, capital).</t>
  </si>
  <si>
    <t xml:space="preserve">🚦 SHEET 3 – Scorecard Semafoare</t>
  </si>
  <si>
    <t xml:space="preserve">Dashboard lunar cu 10 KPI-uri cheie și sistem de semafoare automat.</t>
  </si>
  <si>
    <t xml:space="preserve">Modificați DOAR coloana D (Actual) – starea și varianta se calculează automat.</t>
  </si>
  <si>
    <t xml:space="preserve">🟢 OK = ≥ 95% din target  |  🟡 ATENȚIE = 85-94%  |  🔴 ALERTĂ = &lt; 85%</t>
  </si>
  <si>
    <t xml:space="preserve">Personalizați pragurile direct în formulele din coloana F (IF statements).</t>
  </si>
  <si>
    <t xml:space="preserve">📐 SHEET 4 – Formule Avansate</t>
  </si>
  <si>
    <t xml:space="preserve">Formule complexe: CAGR, WACC, FCF, EV/EBITDA, LTV, Rule of 40, OEE, Magic Number.</t>
  </si>
  <si>
    <t xml:space="preserve">Include variante de calcul și note de atenție pentru fiecare formulă.</t>
  </si>
  <si>
    <t xml:space="preserve">🎨 CONVENȚII DE CULORI (standard financiar)</t>
  </si>
  <si>
    <t xml:space="preserve">🔵 Text ALBASTRU = celule de intrare (hardcoded inputs) – modificați liber</t>
  </si>
  <si>
    <t xml:space="preserve">⚫ Text NEGRU = formule calculate automat – nu modificați</t>
  </si>
  <si>
    <t xml:space="preserve">🟢 Text VERDE = valori de referință și link-uri cross-sheet</t>
  </si>
  <si>
    <t xml:space="preserve">🟡 Fundal GALBEN = celule care necesită atenție sau actualizare</t>
  </si>
  <si>
    <t xml:space="preserve">💡 SFATURI PRACTICE</t>
  </si>
  <si>
    <t xml:space="preserve">1. Nu urmăriți mai mult de 5-7 KPI-uri per departament. Calitate &gt; cantitate.</t>
  </si>
  <si>
    <t xml:space="preserve">2. Întotdeauna comparați față de o referință: budget, an trecut sau forecast.</t>
  </si>
  <si>
    <t xml:space="preserve">3. Orice varianță &gt; ±5% față de target necesită comentariu și plan de acțiune.</t>
  </si>
  <si>
    <t xml:space="preserve">4. Adaptați target-urile și alarmele la industria și stadiul companiei voastre.</t>
  </si>
  <si>
    <t xml:space="preserve">5. Actualizați Scorecard-ul în aceeași zi în care închideți luna contabilă.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</si>
</sst>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%"/>
    <numFmt numFmtId="168" formatCode="0.00\x"/>
    <numFmt numFmtId="169" formatCode="0.0"/>
    <numFmt numFmtId="170" formatCode="\+0.0%;\-0.0%;\-"/>
    <numFmt numFmtId="171" formatCode="\+0.00;\-0.00;\-"/>
    <numFmt numFmtId="172" formatCode="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2D4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1F3D7A"/>
      <name val="Courier New"/>
      <family val="0"/>
      <charset val="1"/>
    </font>
    <font>
      <sz val="9"/>
      <color rgb="FF272D45"/>
      <name val="Arial"/>
      <family val="0"/>
      <charset val="1"/>
    </font>
    <font>
      <b val="true"/>
      <sz val="9"/>
      <color rgb="FF3A7057"/>
      <name val="Arial"/>
      <family val="0"/>
      <charset val="1"/>
    </font>
    <font>
      <b val="true"/>
      <sz val="9"/>
      <color rgb="FFA04040"/>
      <name val="Arial"/>
      <family val="0"/>
      <charset val="1"/>
    </font>
    <font>
      <sz val="9"/>
      <color rgb="FF437066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272D45"/>
      <name val="Arial"/>
      <family val="0"/>
      <charset val="1"/>
    </font>
    <font>
      <sz val="10"/>
      <color rgb="FF272D45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3A7057"/>
      <name val="Arial"/>
      <family val="0"/>
      <charset val="1"/>
    </font>
    <font>
      <sz val="9"/>
      <color rgb="FFA04040"/>
      <name val="Arial"/>
      <family val="0"/>
      <charset val="1"/>
    </font>
    <font>
      <b val="true"/>
      <sz val="10"/>
      <color rgb="FF43706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3A7057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4"/>
      <color rgb="FF8B6B3D"/>
      <name val="Arial"/>
      <family val="0"/>
      <charset val="1"/>
    </font>
    <font>
      <b val="true"/>
      <sz val="14"/>
      <color rgb="FFA04040"/>
      <name val="Arial"/>
      <family val="0"/>
      <charset val="1"/>
    </font>
    <font>
      <i val="true"/>
      <sz val="8"/>
      <color rgb="FF4370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43706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3249"/>
        <bgColor rgb="FF272D45"/>
      </patternFill>
    </fill>
    <fill>
      <patternFill patternType="solid">
        <fgColor rgb="FF437066"/>
        <bgColor rgb="FF3A7057"/>
      </patternFill>
    </fill>
    <fill>
      <patternFill patternType="solid">
        <fgColor rgb="FFDFECE9"/>
        <bgColor rgb="FFEBF5EF"/>
      </patternFill>
    </fill>
    <fill>
      <patternFill patternType="solid">
        <fgColor rgb="FFEBF5EF"/>
        <bgColor rgb="FFDFECE9"/>
      </patternFill>
    </fill>
    <fill>
      <patternFill patternType="solid">
        <fgColor rgb="FFF9ECEC"/>
        <bgColor rgb="FFEBF5EF"/>
      </patternFill>
    </fill>
    <fill>
      <patternFill patternType="solid">
        <fgColor rgb="FFFFFFFF"/>
        <bgColor rgb="FFEBF5EF"/>
      </patternFill>
    </fill>
    <fill>
      <patternFill patternType="solid">
        <fgColor rgb="FF272D45"/>
        <bgColor rgb="FF2C324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D2CF"/>
      </left>
      <right style="thin">
        <color rgb="FFC5D2CF"/>
      </right>
      <top style="thin">
        <color rgb="FFC5D2CF"/>
      </top>
      <bottom style="thin">
        <color rgb="FFC5D2CF"/>
      </bottom>
      <diagonal/>
    </border>
    <border diagonalUp="false" diagonalDown="false">
      <left style="thin">
        <color rgb="FFC5D2CF"/>
      </left>
      <right/>
      <top style="thin">
        <color rgb="FFC5D2CF"/>
      </top>
      <bottom style="thin">
        <color rgb="FFC5D2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3" fillId="7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3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B3D"/>
      <rgbColor rgb="FF800080"/>
      <rgbColor rgb="FF008080"/>
      <rgbColor rgb="FFC5D2CF"/>
      <rgbColor rgb="FF555555"/>
      <rgbColor rgb="FF9999FF"/>
      <rgbColor rgb="FFA04040"/>
      <rgbColor rgb="FFEBF5EF"/>
      <rgbColor rgb="FFDFEC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EC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37066"/>
      <rgbColor rgb="FF969696"/>
      <rgbColor rgb="FF2C3249"/>
      <rgbColor rgb="FF3A7057"/>
      <rgbColor rgb="FF444444"/>
      <rgbColor rgb="FF272D45"/>
      <rgbColor rgb="FF993300"/>
      <rgbColor rgb="FF993366"/>
      <rgbColor rgb="FF1F3D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38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24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1.75" hidden="false" customHeight="true" outlineLevel="0" collapsed="false">
      <c r="A4" s="3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customFormat="false" ht="19.5" hidden="false" customHeight="true" outlineLevel="0" collapsed="false">
      <c r="A5" s="5"/>
      <c r="B5" s="6" t="s">
        <v>9</v>
      </c>
      <c r="C5" s="6"/>
      <c r="D5" s="6"/>
      <c r="E5" s="6"/>
      <c r="F5" s="6"/>
      <c r="G5" s="6"/>
      <c r="H5" s="6"/>
      <c r="I5" s="6"/>
    </row>
    <row r="6" customFormat="false" ht="30" hidden="false" customHeight="true" outlineLevel="0" collapsed="false">
      <c r="A6" s="7"/>
      <c r="B6" s="8" t="s">
        <v>10</v>
      </c>
      <c r="C6" s="9" t="s">
        <v>11</v>
      </c>
      <c r="D6" s="10" t="s">
        <v>12</v>
      </c>
      <c r="E6" s="11" t="s">
        <v>13</v>
      </c>
      <c r="F6" s="12" t="s">
        <v>14</v>
      </c>
      <c r="G6" s="13" t="s">
        <v>15</v>
      </c>
      <c r="H6" s="14" t="s">
        <v>16</v>
      </c>
      <c r="I6" s="15" t="s">
        <v>17</v>
      </c>
    </row>
    <row r="7" customFormat="false" ht="30" hidden="false" customHeight="true" outlineLevel="0" collapsed="false">
      <c r="A7" s="16"/>
      <c r="B7" s="17" t="s">
        <v>18</v>
      </c>
      <c r="C7" s="18" t="s">
        <v>19</v>
      </c>
      <c r="D7" s="19" t="s">
        <v>20</v>
      </c>
      <c r="E7" s="20" t="s">
        <v>13</v>
      </c>
      <c r="F7" s="12" t="s">
        <v>21</v>
      </c>
      <c r="G7" s="13" t="s">
        <v>22</v>
      </c>
      <c r="H7" s="21" t="s">
        <v>16</v>
      </c>
      <c r="I7" s="22" t="s">
        <v>23</v>
      </c>
    </row>
    <row r="8" customFormat="false" ht="30" hidden="false" customHeight="true" outlineLevel="0" collapsed="false">
      <c r="A8" s="7"/>
      <c r="B8" s="8" t="s">
        <v>24</v>
      </c>
      <c r="C8" s="9" t="s">
        <v>25</v>
      </c>
      <c r="D8" s="10" t="s">
        <v>26</v>
      </c>
      <c r="E8" s="11" t="s">
        <v>13</v>
      </c>
      <c r="F8" s="12" t="s">
        <v>27</v>
      </c>
      <c r="G8" s="13" t="s">
        <v>28</v>
      </c>
      <c r="H8" s="14" t="s">
        <v>16</v>
      </c>
      <c r="I8" s="15" t="s">
        <v>29</v>
      </c>
    </row>
    <row r="9" customFormat="false" ht="30" hidden="false" customHeight="true" outlineLevel="0" collapsed="false">
      <c r="A9" s="16"/>
      <c r="B9" s="17" t="s">
        <v>30</v>
      </c>
      <c r="C9" s="18" t="s">
        <v>31</v>
      </c>
      <c r="D9" s="19" t="s">
        <v>32</v>
      </c>
      <c r="E9" s="20" t="s">
        <v>13</v>
      </c>
      <c r="F9" s="12" t="s">
        <v>33</v>
      </c>
      <c r="G9" s="13" t="s">
        <v>34</v>
      </c>
      <c r="H9" s="21" t="s">
        <v>16</v>
      </c>
      <c r="I9" s="22" t="s">
        <v>35</v>
      </c>
    </row>
    <row r="10" customFormat="false" ht="30" hidden="false" customHeight="true" outlineLevel="0" collapsed="false">
      <c r="A10" s="7"/>
      <c r="B10" s="8" t="s">
        <v>36</v>
      </c>
      <c r="C10" s="9" t="s">
        <v>37</v>
      </c>
      <c r="D10" s="10" t="s">
        <v>38</v>
      </c>
      <c r="E10" s="11" t="s">
        <v>13</v>
      </c>
      <c r="F10" s="12" t="s">
        <v>21</v>
      </c>
      <c r="G10" s="13" t="s">
        <v>22</v>
      </c>
      <c r="H10" s="14" t="s">
        <v>39</v>
      </c>
      <c r="I10" s="15" t="s">
        <v>40</v>
      </c>
    </row>
    <row r="11" customFormat="false" ht="30" hidden="false" customHeight="true" outlineLevel="0" collapsed="false">
      <c r="A11" s="16"/>
      <c r="B11" s="17" t="s">
        <v>41</v>
      </c>
      <c r="C11" s="18" t="s">
        <v>42</v>
      </c>
      <c r="D11" s="19" t="s">
        <v>43</v>
      </c>
      <c r="E11" s="20" t="s">
        <v>13</v>
      </c>
      <c r="F11" s="12" t="s">
        <v>44</v>
      </c>
      <c r="G11" s="13" t="s">
        <v>45</v>
      </c>
      <c r="H11" s="21" t="s">
        <v>39</v>
      </c>
      <c r="I11" s="22" t="s">
        <v>46</v>
      </c>
    </row>
    <row r="12" customFormat="false" ht="30" hidden="false" customHeight="true" outlineLevel="0" collapsed="false">
      <c r="A12" s="7"/>
      <c r="B12" s="8" t="s">
        <v>47</v>
      </c>
      <c r="C12" s="9" t="s">
        <v>48</v>
      </c>
      <c r="D12" s="10" t="s">
        <v>49</v>
      </c>
      <c r="E12" s="11" t="s">
        <v>13</v>
      </c>
      <c r="F12" s="12" t="s">
        <v>27</v>
      </c>
      <c r="G12" s="13" t="s">
        <v>50</v>
      </c>
      <c r="H12" s="14" t="s">
        <v>39</v>
      </c>
      <c r="I12" s="15" t="s">
        <v>51</v>
      </c>
    </row>
    <row r="13" customFormat="false" ht="30" hidden="false" customHeight="true" outlineLevel="0" collapsed="false">
      <c r="A13" s="16"/>
      <c r="B13" s="17" t="s">
        <v>52</v>
      </c>
      <c r="C13" s="18" t="s">
        <v>53</v>
      </c>
      <c r="D13" s="19" t="s">
        <v>54</v>
      </c>
      <c r="E13" s="20" t="s">
        <v>13</v>
      </c>
      <c r="F13" s="12" t="s">
        <v>55</v>
      </c>
      <c r="G13" s="13" t="s">
        <v>28</v>
      </c>
      <c r="H13" s="21" t="s">
        <v>56</v>
      </c>
      <c r="I13" s="22" t="s">
        <v>57</v>
      </c>
    </row>
    <row r="15" customFormat="false" ht="19.5" hidden="false" customHeight="true" outlineLevel="0" collapsed="false">
      <c r="A15" s="5"/>
      <c r="B15" s="6" t="s">
        <v>58</v>
      </c>
      <c r="C15" s="6"/>
      <c r="D15" s="6"/>
      <c r="E15" s="6"/>
      <c r="F15" s="6"/>
      <c r="G15" s="6"/>
      <c r="H15" s="6"/>
      <c r="I15" s="6"/>
    </row>
    <row r="16" customFormat="false" ht="30" hidden="false" customHeight="true" outlineLevel="0" collapsed="false">
      <c r="A16" s="7"/>
      <c r="B16" s="8" t="s">
        <v>59</v>
      </c>
      <c r="C16" s="9" t="s">
        <v>60</v>
      </c>
      <c r="D16" s="10" t="s">
        <v>61</v>
      </c>
      <c r="E16" s="11" t="s">
        <v>62</v>
      </c>
      <c r="F16" s="12" t="s">
        <v>63</v>
      </c>
      <c r="G16" s="13" t="s">
        <v>64</v>
      </c>
      <c r="H16" s="14" t="s">
        <v>16</v>
      </c>
      <c r="I16" s="15" t="s">
        <v>65</v>
      </c>
    </row>
    <row r="17" customFormat="false" ht="30" hidden="false" customHeight="true" outlineLevel="0" collapsed="false">
      <c r="A17" s="16"/>
      <c r="B17" s="17" t="s">
        <v>66</v>
      </c>
      <c r="C17" s="18" t="s">
        <v>67</v>
      </c>
      <c r="D17" s="19" t="s">
        <v>68</v>
      </c>
      <c r="E17" s="20" t="s">
        <v>62</v>
      </c>
      <c r="F17" s="12" t="s">
        <v>69</v>
      </c>
      <c r="G17" s="13" t="s">
        <v>70</v>
      </c>
      <c r="H17" s="21" t="s">
        <v>16</v>
      </c>
      <c r="I17" s="22" t="s">
        <v>71</v>
      </c>
    </row>
    <row r="18" customFormat="false" ht="30" hidden="false" customHeight="true" outlineLevel="0" collapsed="false">
      <c r="A18" s="7"/>
      <c r="B18" s="8" t="s">
        <v>72</v>
      </c>
      <c r="C18" s="9" t="s">
        <v>72</v>
      </c>
      <c r="D18" s="10" t="s">
        <v>73</v>
      </c>
      <c r="E18" s="11" t="s">
        <v>62</v>
      </c>
      <c r="F18" s="12" t="s">
        <v>74</v>
      </c>
      <c r="G18" s="13" t="s">
        <v>75</v>
      </c>
      <c r="H18" s="14" t="s">
        <v>16</v>
      </c>
      <c r="I18" s="15" t="s">
        <v>76</v>
      </c>
    </row>
    <row r="19" customFormat="false" ht="30" hidden="false" customHeight="true" outlineLevel="0" collapsed="false">
      <c r="A19" s="16"/>
      <c r="B19" s="17" t="s">
        <v>77</v>
      </c>
      <c r="C19" s="18" t="s">
        <v>78</v>
      </c>
      <c r="D19" s="19" t="s">
        <v>79</v>
      </c>
      <c r="E19" s="20" t="s">
        <v>80</v>
      </c>
      <c r="F19" s="12" t="s">
        <v>81</v>
      </c>
      <c r="G19" s="13" t="s">
        <v>82</v>
      </c>
      <c r="H19" s="21" t="s">
        <v>16</v>
      </c>
      <c r="I19" s="22" t="s">
        <v>83</v>
      </c>
    </row>
    <row r="20" customFormat="false" ht="30" hidden="false" customHeight="true" outlineLevel="0" collapsed="false">
      <c r="A20" s="7"/>
      <c r="B20" s="8" t="s">
        <v>84</v>
      </c>
      <c r="C20" s="9" t="s">
        <v>85</v>
      </c>
      <c r="D20" s="10" t="s">
        <v>86</v>
      </c>
      <c r="E20" s="11" t="s">
        <v>80</v>
      </c>
      <c r="F20" s="12" t="s">
        <v>81</v>
      </c>
      <c r="G20" s="13" t="s">
        <v>82</v>
      </c>
      <c r="H20" s="14" t="s">
        <v>16</v>
      </c>
      <c r="I20" s="15" t="s">
        <v>87</v>
      </c>
    </row>
    <row r="22" customFormat="false" ht="19.5" hidden="false" customHeight="true" outlineLevel="0" collapsed="false">
      <c r="A22" s="5"/>
      <c r="B22" s="6" t="s">
        <v>88</v>
      </c>
      <c r="C22" s="6"/>
      <c r="D22" s="6"/>
      <c r="E22" s="6"/>
      <c r="F22" s="6"/>
      <c r="G22" s="6"/>
      <c r="H22" s="6"/>
      <c r="I22" s="6"/>
    </row>
    <row r="23" customFormat="false" ht="30" hidden="false" customHeight="true" outlineLevel="0" collapsed="false">
      <c r="A23" s="7"/>
      <c r="B23" s="8" t="s">
        <v>89</v>
      </c>
      <c r="C23" s="9" t="s">
        <v>90</v>
      </c>
      <c r="D23" s="10" t="s">
        <v>91</v>
      </c>
      <c r="E23" s="11" t="s">
        <v>92</v>
      </c>
      <c r="F23" s="12" t="s">
        <v>93</v>
      </c>
      <c r="G23" s="13" t="s">
        <v>94</v>
      </c>
      <c r="H23" s="14" t="s">
        <v>16</v>
      </c>
      <c r="I23" s="15" t="s">
        <v>95</v>
      </c>
    </row>
    <row r="24" customFormat="false" ht="30" hidden="false" customHeight="true" outlineLevel="0" collapsed="false">
      <c r="A24" s="16"/>
      <c r="B24" s="17" t="s">
        <v>96</v>
      </c>
      <c r="C24" s="18" t="s">
        <v>97</v>
      </c>
      <c r="D24" s="19" t="s">
        <v>98</v>
      </c>
      <c r="E24" s="20" t="s">
        <v>92</v>
      </c>
      <c r="F24" s="12" t="s">
        <v>99</v>
      </c>
      <c r="G24" s="13" t="s">
        <v>100</v>
      </c>
      <c r="H24" s="21" t="s">
        <v>16</v>
      </c>
      <c r="I24" s="22" t="s">
        <v>101</v>
      </c>
    </row>
    <row r="25" customFormat="false" ht="30" hidden="false" customHeight="true" outlineLevel="0" collapsed="false">
      <c r="A25" s="7"/>
      <c r="B25" s="8" t="s">
        <v>102</v>
      </c>
      <c r="C25" s="9" t="s">
        <v>103</v>
      </c>
      <c r="D25" s="10" t="s">
        <v>104</v>
      </c>
      <c r="E25" s="11" t="s">
        <v>92</v>
      </c>
      <c r="F25" s="12" t="s">
        <v>105</v>
      </c>
      <c r="G25" s="13" t="s">
        <v>106</v>
      </c>
      <c r="H25" s="14" t="s">
        <v>16</v>
      </c>
      <c r="I25" s="15" t="s">
        <v>107</v>
      </c>
    </row>
    <row r="26" customFormat="false" ht="30" hidden="false" customHeight="true" outlineLevel="0" collapsed="false">
      <c r="A26" s="16"/>
      <c r="B26" s="17" t="s">
        <v>108</v>
      </c>
      <c r="C26" s="18" t="s">
        <v>109</v>
      </c>
      <c r="D26" s="19" t="s">
        <v>110</v>
      </c>
      <c r="E26" s="20" t="s">
        <v>92</v>
      </c>
      <c r="F26" s="12" t="s">
        <v>111</v>
      </c>
      <c r="G26" s="13" t="s">
        <v>94</v>
      </c>
      <c r="H26" s="21" t="s">
        <v>16</v>
      </c>
      <c r="I26" s="22" t="s">
        <v>112</v>
      </c>
    </row>
    <row r="27" customFormat="false" ht="30" hidden="false" customHeight="true" outlineLevel="0" collapsed="false">
      <c r="A27" s="7"/>
      <c r="B27" s="8" t="s">
        <v>113</v>
      </c>
      <c r="C27" s="9" t="s">
        <v>114</v>
      </c>
      <c r="D27" s="10" t="s">
        <v>115</v>
      </c>
      <c r="E27" s="11" t="s">
        <v>62</v>
      </c>
      <c r="F27" s="12" t="s">
        <v>116</v>
      </c>
      <c r="G27" s="13" t="s">
        <v>117</v>
      </c>
      <c r="H27" s="14" t="s">
        <v>39</v>
      </c>
      <c r="I27" s="15" t="s">
        <v>118</v>
      </c>
    </row>
    <row r="28" customFormat="false" ht="30" hidden="false" customHeight="true" outlineLevel="0" collapsed="false">
      <c r="A28" s="16"/>
      <c r="B28" s="17" t="s">
        <v>119</v>
      </c>
      <c r="C28" s="18" t="s">
        <v>120</v>
      </c>
      <c r="D28" s="19" t="s">
        <v>121</v>
      </c>
      <c r="E28" s="20" t="s">
        <v>62</v>
      </c>
      <c r="F28" s="12" t="s">
        <v>122</v>
      </c>
      <c r="G28" s="13" t="s">
        <v>123</v>
      </c>
      <c r="H28" s="21" t="s">
        <v>16</v>
      </c>
      <c r="I28" s="22" t="s">
        <v>124</v>
      </c>
    </row>
    <row r="30" customFormat="false" ht="19.5" hidden="false" customHeight="true" outlineLevel="0" collapsed="false">
      <c r="A30" s="5"/>
      <c r="B30" s="6" t="s">
        <v>125</v>
      </c>
      <c r="C30" s="6"/>
      <c r="D30" s="6"/>
      <c r="E30" s="6"/>
      <c r="F30" s="6"/>
      <c r="G30" s="6"/>
      <c r="H30" s="6"/>
      <c r="I30" s="6"/>
    </row>
    <row r="31" customFormat="false" ht="30" hidden="false" customHeight="true" outlineLevel="0" collapsed="false">
      <c r="A31" s="7"/>
      <c r="B31" s="8" t="s">
        <v>126</v>
      </c>
      <c r="C31" s="9" t="s">
        <v>127</v>
      </c>
      <c r="D31" s="10" t="s">
        <v>128</v>
      </c>
      <c r="E31" s="11" t="s">
        <v>62</v>
      </c>
      <c r="F31" s="12" t="s">
        <v>64</v>
      </c>
      <c r="G31" s="13" t="s">
        <v>63</v>
      </c>
      <c r="H31" s="14" t="s">
        <v>129</v>
      </c>
      <c r="I31" s="15" t="s">
        <v>130</v>
      </c>
    </row>
    <row r="32" customFormat="false" ht="30" hidden="false" customHeight="true" outlineLevel="0" collapsed="false">
      <c r="A32" s="16"/>
      <c r="B32" s="17" t="s">
        <v>131</v>
      </c>
      <c r="C32" s="18" t="s">
        <v>132</v>
      </c>
      <c r="D32" s="19" t="s">
        <v>133</v>
      </c>
      <c r="E32" s="20" t="s">
        <v>62</v>
      </c>
      <c r="F32" s="12" t="s">
        <v>134</v>
      </c>
      <c r="G32" s="13" t="s">
        <v>135</v>
      </c>
      <c r="H32" s="21" t="s">
        <v>129</v>
      </c>
      <c r="I32" s="22" t="s">
        <v>136</v>
      </c>
    </row>
    <row r="33" customFormat="false" ht="30" hidden="false" customHeight="true" outlineLevel="0" collapsed="false">
      <c r="A33" s="7"/>
      <c r="B33" s="8" t="s">
        <v>137</v>
      </c>
      <c r="C33" s="9" t="s">
        <v>138</v>
      </c>
      <c r="D33" s="10" t="s">
        <v>139</v>
      </c>
      <c r="E33" s="11" t="s">
        <v>62</v>
      </c>
      <c r="F33" s="12" t="s">
        <v>140</v>
      </c>
      <c r="G33" s="13" t="s">
        <v>141</v>
      </c>
      <c r="H33" s="14" t="s">
        <v>129</v>
      </c>
      <c r="I33" s="15" t="s">
        <v>142</v>
      </c>
    </row>
    <row r="34" customFormat="false" ht="30" hidden="false" customHeight="true" outlineLevel="0" collapsed="false">
      <c r="A34" s="16"/>
      <c r="B34" s="17" t="s">
        <v>143</v>
      </c>
      <c r="C34" s="18" t="s">
        <v>144</v>
      </c>
      <c r="D34" s="19" t="s">
        <v>145</v>
      </c>
      <c r="E34" s="20" t="s">
        <v>13</v>
      </c>
      <c r="F34" s="12" t="s">
        <v>146</v>
      </c>
      <c r="G34" s="13" t="s">
        <v>147</v>
      </c>
      <c r="H34" s="21" t="s">
        <v>129</v>
      </c>
      <c r="I34" s="22" t="s">
        <v>148</v>
      </c>
    </row>
    <row r="36" customFormat="false" ht="19.5" hidden="false" customHeight="true" outlineLevel="0" collapsed="false">
      <c r="A36" s="5"/>
      <c r="B36" s="6" t="s">
        <v>149</v>
      </c>
      <c r="C36" s="6"/>
      <c r="D36" s="6"/>
      <c r="E36" s="6"/>
      <c r="F36" s="6"/>
      <c r="G36" s="6"/>
      <c r="H36" s="6"/>
      <c r="I36" s="6"/>
    </row>
    <row r="37" customFormat="false" ht="30" hidden="false" customHeight="true" outlineLevel="0" collapsed="false">
      <c r="A37" s="7"/>
      <c r="B37" s="8" t="s">
        <v>150</v>
      </c>
      <c r="C37" s="9" t="s">
        <v>151</v>
      </c>
      <c r="D37" s="10" t="s">
        <v>152</v>
      </c>
      <c r="E37" s="11" t="s">
        <v>13</v>
      </c>
      <c r="F37" s="12" t="s">
        <v>33</v>
      </c>
      <c r="G37" s="13" t="s">
        <v>153</v>
      </c>
      <c r="H37" s="14" t="s">
        <v>16</v>
      </c>
      <c r="I37" s="15" t="s">
        <v>154</v>
      </c>
    </row>
    <row r="38" customFormat="false" ht="30" hidden="false" customHeight="true" outlineLevel="0" collapsed="false">
      <c r="A38" s="16"/>
      <c r="B38" s="17" t="s">
        <v>155</v>
      </c>
      <c r="C38" s="18" t="s">
        <v>156</v>
      </c>
      <c r="D38" s="19" t="s">
        <v>157</v>
      </c>
      <c r="E38" s="20" t="s">
        <v>13</v>
      </c>
      <c r="F38" s="12" t="s">
        <v>44</v>
      </c>
      <c r="G38" s="13" t="s">
        <v>153</v>
      </c>
      <c r="H38" s="21" t="s">
        <v>129</v>
      </c>
      <c r="I38" s="22" t="s">
        <v>158</v>
      </c>
    </row>
    <row r="39" customFormat="false" ht="30" hidden="false" customHeight="true" outlineLevel="0" collapsed="false">
      <c r="A39" s="7"/>
      <c r="B39" s="8" t="s">
        <v>159</v>
      </c>
      <c r="C39" s="9" t="s">
        <v>160</v>
      </c>
      <c r="D39" s="10" t="s">
        <v>161</v>
      </c>
      <c r="E39" s="11" t="s">
        <v>80</v>
      </c>
      <c r="F39" s="12" t="s">
        <v>162</v>
      </c>
      <c r="G39" s="13" t="s">
        <v>163</v>
      </c>
      <c r="H39" s="14" t="s">
        <v>16</v>
      </c>
      <c r="I39" s="15" t="s">
        <v>164</v>
      </c>
    </row>
    <row r="40" customFormat="false" ht="30" hidden="false" customHeight="true" outlineLevel="0" collapsed="false">
      <c r="A40" s="16"/>
      <c r="B40" s="17" t="s">
        <v>165</v>
      </c>
      <c r="C40" s="18" t="s">
        <v>166</v>
      </c>
      <c r="D40" s="19" t="s">
        <v>167</v>
      </c>
      <c r="E40" s="20" t="s">
        <v>80</v>
      </c>
      <c r="F40" s="12" t="s">
        <v>168</v>
      </c>
      <c r="G40" s="13" t="s">
        <v>169</v>
      </c>
      <c r="H40" s="21" t="s">
        <v>129</v>
      </c>
      <c r="I40" s="22" t="s">
        <v>170</v>
      </c>
    </row>
    <row r="41" customFormat="false" ht="30" hidden="false" customHeight="true" outlineLevel="0" collapsed="false">
      <c r="A41" s="7"/>
      <c r="B41" s="8" t="s">
        <v>171</v>
      </c>
      <c r="C41" s="9" t="s">
        <v>172</v>
      </c>
      <c r="D41" s="10" t="s">
        <v>173</v>
      </c>
      <c r="E41" s="11" t="s">
        <v>62</v>
      </c>
      <c r="F41" s="12" t="s">
        <v>140</v>
      </c>
      <c r="G41" s="13" t="s">
        <v>64</v>
      </c>
      <c r="H41" s="14" t="s">
        <v>129</v>
      </c>
      <c r="I41" s="15" t="s">
        <v>174</v>
      </c>
    </row>
    <row r="42" customFormat="false" ht="30" hidden="false" customHeight="true" outlineLevel="0" collapsed="false">
      <c r="A42" s="16"/>
      <c r="B42" s="17" t="s">
        <v>175</v>
      </c>
      <c r="C42" s="18" t="s">
        <v>176</v>
      </c>
      <c r="D42" s="19" t="s">
        <v>177</v>
      </c>
      <c r="E42" s="20" t="s">
        <v>13</v>
      </c>
      <c r="F42" s="12" t="s">
        <v>28</v>
      </c>
      <c r="G42" s="13" t="s">
        <v>21</v>
      </c>
      <c r="H42" s="21" t="s">
        <v>16</v>
      </c>
      <c r="I42" s="22" t="s">
        <v>178</v>
      </c>
    </row>
    <row r="43" customFormat="false" ht="30" hidden="false" customHeight="true" outlineLevel="0" collapsed="false">
      <c r="A43" s="7"/>
      <c r="B43" s="8" t="s">
        <v>179</v>
      </c>
      <c r="C43" s="9" t="s">
        <v>180</v>
      </c>
      <c r="D43" s="10" t="s">
        <v>181</v>
      </c>
      <c r="E43" s="11" t="s">
        <v>182</v>
      </c>
      <c r="F43" s="12" t="s">
        <v>183</v>
      </c>
      <c r="G43" s="13" t="s">
        <v>184</v>
      </c>
      <c r="H43" s="14" t="s">
        <v>129</v>
      </c>
      <c r="I43" s="15" t="s">
        <v>185</v>
      </c>
    </row>
    <row r="45" customFormat="false" ht="19.5" hidden="false" customHeight="true" outlineLevel="0" collapsed="false">
      <c r="A45" s="5"/>
      <c r="B45" s="6" t="s">
        <v>186</v>
      </c>
      <c r="C45" s="6"/>
      <c r="D45" s="6"/>
      <c r="E45" s="6"/>
      <c r="F45" s="6"/>
      <c r="G45" s="6"/>
      <c r="H45" s="6"/>
      <c r="I45" s="6"/>
    </row>
    <row r="46" customFormat="false" ht="30" hidden="false" customHeight="true" outlineLevel="0" collapsed="false">
      <c r="A46" s="7"/>
      <c r="B46" s="8" t="s">
        <v>187</v>
      </c>
      <c r="C46" s="9" t="s">
        <v>188</v>
      </c>
      <c r="D46" s="10" t="s">
        <v>189</v>
      </c>
      <c r="E46" s="11" t="s">
        <v>80</v>
      </c>
      <c r="F46" s="12" t="s">
        <v>190</v>
      </c>
      <c r="G46" s="13" t="s">
        <v>191</v>
      </c>
      <c r="H46" s="14" t="s">
        <v>16</v>
      </c>
      <c r="I46" s="15" t="s">
        <v>192</v>
      </c>
    </row>
    <row r="47" customFormat="false" ht="30" hidden="false" customHeight="true" outlineLevel="0" collapsed="false">
      <c r="A47" s="16"/>
      <c r="B47" s="17" t="s">
        <v>193</v>
      </c>
      <c r="C47" s="18" t="s">
        <v>194</v>
      </c>
      <c r="D47" s="19" t="s">
        <v>195</v>
      </c>
      <c r="E47" s="20" t="s">
        <v>13</v>
      </c>
      <c r="F47" s="12" t="s">
        <v>196</v>
      </c>
      <c r="G47" s="13" t="s">
        <v>197</v>
      </c>
      <c r="H47" s="21" t="s">
        <v>16</v>
      </c>
      <c r="I47" s="22" t="s">
        <v>198</v>
      </c>
    </row>
    <row r="48" customFormat="false" ht="30" hidden="false" customHeight="true" outlineLevel="0" collapsed="false">
      <c r="A48" s="7"/>
      <c r="B48" s="8" t="s">
        <v>199</v>
      </c>
      <c r="C48" s="9" t="s">
        <v>200</v>
      </c>
      <c r="D48" s="10" t="s">
        <v>201</v>
      </c>
      <c r="E48" s="11" t="s">
        <v>13</v>
      </c>
      <c r="F48" s="12" t="s">
        <v>34</v>
      </c>
      <c r="G48" s="13" t="s">
        <v>202</v>
      </c>
      <c r="H48" s="14" t="s">
        <v>16</v>
      </c>
      <c r="I48" s="15" t="s">
        <v>203</v>
      </c>
    </row>
    <row r="49" customFormat="false" ht="30" hidden="false" customHeight="true" outlineLevel="0" collapsed="false">
      <c r="A49" s="16"/>
      <c r="B49" s="17" t="s">
        <v>204</v>
      </c>
      <c r="C49" s="18" t="s">
        <v>205</v>
      </c>
      <c r="D49" s="19" t="s">
        <v>206</v>
      </c>
      <c r="E49" s="20" t="s">
        <v>13</v>
      </c>
      <c r="F49" s="12" t="s">
        <v>207</v>
      </c>
      <c r="G49" s="13" t="s">
        <v>208</v>
      </c>
      <c r="H49" s="21" t="s">
        <v>39</v>
      </c>
      <c r="I49" s="22" t="s">
        <v>209</v>
      </c>
    </row>
    <row r="50" customFormat="false" ht="30" hidden="false" customHeight="true" outlineLevel="0" collapsed="false">
      <c r="A50" s="7"/>
      <c r="B50" s="8" t="s">
        <v>210</v>
      </c>
      <c r="C50" s="9" t="s">
        <v>211</v>
      </c>
      <c r="D50" s="10" t="s">
        <v>212</v>
      </c>
      <c r="E50" s="11" t="s">
        <v>80</v>
      </c>
      <c r="F50" s="12" t="s">
        <v>190</v>
      </c>
      <c r="G50" s="13" t="s">
        <v>191</v>
      </c>
      <c r="H50" s="14" t="s">
        <v>16</v>
      </c>
      <c r="I50" s="15" t="s">
        <v>213</v>
      </c>
    </row>
    <row r="52" customFormat="false" ht="19.5" hidden="false" customHeight="true" outlineLevel="0" collapsed="false">
      <c r="A52" s="5"/>
      <c r="B52" s="6" t="s">
        <v>214</v>
      </c>
      <c r="C52" s="6"/>
      <c r="D52" s="6"/>
      <c r="E52" s="6"/>
      <c r="F52" s="6"/>
      <c r="G52" s="6"/>
      <c r="H52" s="6"/>
      <c r="I52" s="6"/>
    </row>
    <row r="53" customFormat="false" ht="30" hidden="false" customHeight="true" outlineLevel="0" collapsed="false">
      <c r="A53" s="7"/>
      <c r="B53" s="8" t="s">
        <v>215</v>
      </c>
      <c r="C53" s="9" t="s">
        <v>216</v>
      </c>
      <c r="D53" s="10" t="s">
        <v>217</v>
      </c>
      <c r="E53" s="11" t="s">
        <v>13</v>
      </c>
      <c r="F53" s="12" t="s">
        <v>218</v>
      </c>
      <c r="G53" s="13" t="s">
        <v>219</v>
      </c>
      <c r="H53" s="14" t="s">
        <v>220</v>
      </c>
      <c r="I53" s="15" t="s">
        <v>221</v>
      </c>
    </row>
    <row r="54" customFormat="false" ht="30" hidden="false" customHeight="true" outlineLevel="0" collapsed="false">
      <c r="A54" s="16"/>
      <c r="B54" s="17" t="s">
        <v>222</v>
      </c>
      <c r="C54" s="18" t="s">
        <v>223</v>
      </c>
      <c r="D54" s="19" t="s">
        <v>224</v>
      </c>
      <c r="E54" s="20" t="s">
        <v>13</v>
      </c>
      <c r="F54" s="12" t="s">
        <v>45</v>
      </c>
      <c r="G54" s="13" t="s">
        <v>44</v>
      </c>
      <c r="H54" s="21" t="s">
        <v>220</v>
      </c>
      <c r="I54" s="22" t="s">
        <v>225</v>
      </c>
    </row>
    <row r="55" customFormat="false" ht="30" hidden="false" customHeight="true" outlineLevel="0" collapsed="false">
      <c r="A55" s="7"/>
      <c r="B55" s="8" t="s">
        <v>226</v>
      </c>
      <c r="C55" s="9" t="s">
        <v>227</v>
      </c>
      <c r="D55" s="10" t="s">
        <v>228</v>
      </c>
      <c r="E55" s="11" t="s">
        <v>80</v>
      </c>
      <c r="F55" s="12" t="s">
        <v>191</v>
      </c>
      <c r="G55" s="13" t="s">
        <v>190</v>
      </c>
      <c r="H55" s="14" t="s">
        <v>16</v>
      </c>
      <c r="I55" s="15" t="s">
        <v>229</v>
      </c>
    </row>
    <row r="56" customFormat="false" ht="30" hidden="false" customHeight="true" outlineLevel="0" collapsed="false">
      <c r="A56" s="16"/>
      <c r="B56" s="17" t="s">
        <v>230</v>
      </c>
      <c r="C56" s="18" t="s">
        <v>231</v>
      </c>
      <c r="D56" s="19" t="s">
        <v>232</v>
      </c>
      <c r="E56" s="20" t="s">
        <v>13</v>
      </c>
      <c r="F56" s="12" t="s">
        <v>233</v>
      </c>
      <c r="G56" s="13" t="s">
        <v>234</v>
      </c>
      <c r="H56" s="21" t="s">
        <v>235</v>
      </c>
      <c r="I56" s="22" t="s">
        <v>236</v>
      </c>
    </row>
    <row r="57" customFormat="false" ht="30" hidden="false" customHeight="true" outlineLevel="0" collapsed="false">
      <c r="A57" s="7"/>
      <c r="B57" s="8" t="s">
        <v>237</v>
      </c>
      <c r="C57" s="9" t="s">
        <v>238</v>
      </c>
      <c r="D57" s="10" t="s">
        <v>239</v>
      </c>
      <c r="E57" s="11" t="s">
        <v>13</v>
      </c>
      <c r="F57" s="12" t="s">
        <v>240</v>
      </c>
      <c r="G57" s="13" t="s">
        <v>241</v>
      </c>
      <c r="H57" s="14" t="s">
        <v>16</v>
      </c>
      <c r="I57" s="15" t="s">
        <v>242</v>
      </c>
    </row>
    <row r="59" customFormat="false" ht="19.5" hidden="false" customHeight="true" outlineLevel="0" collapsed="false">
      <c r="A59" s="5"/>
      <c r="B59" s="6" t="s">
        <v>243</v>
      </c>
      <c r="C59" s="6"/>
      <c r="D59" s="6"/>
      <c r="E59" s="6"/>
      <c r="F59" s="6"/>
      <c r="G59" s="6"/>
      <c r="H59" s="6"/>
      <c r="I59" s="6"/>
    </row>
    <row r="60" customFormat="false" ht="30" hidden="false" customHeight="true" outlineLevel="0" collapsed="false">
      <c r="A60" s="7"/>
      <c r="B60" s="8" t="s">
        <v>244</v>
      </c>
      <c r="C60" s="9" t="s">
        <v>245</v>
      </c>
      <c r="D60" s="10" t="s">
        <v>246</v>
      </c>
      <c r="E60" s="11" t="s">
        <v>80</v>
      </c>
      <c r="F60" s="12" t="s">
        <v>190</v>
      </c>
      <c r="G60" s="13" t="s">
        <v>191</v>
      </c>
      <c r="H60" s="14" t="s">
        <v>16</v>
      </c>
      <c r="I60" s="15" t="s">
        <v>247</v>
      </c>
    </row>
    <row r="61" customFormat="false" ht="30" hidden="false" customHeight="true" outlineLevel="0" collapsed="false">
      <c r="A61" s="16"/>
      <c r="B61" s="17" t="s">
        <v>248</v>
      </c>
      <c r="C61" s="18" t="s">
        <v>249</v>
      </c>
      <c r="D61" s="19" t="s">
        <v>250</v>
      </c>
      <c r="E61" s="20" t="s">
        <v>80</v>
      </c>
      <c r="F61" s="12" t="s">
        <v>190</v>
      </c>
      <c r="G61" s="13" t="s">
        <v>191</v>
      </c>
      <c r="H61" s="21" t="s">
        <v>129</v>
      </c>
      <c r="I61" s="22" t="s">
        <v>251</v>
      </c>
    </row>
    <row r="62" customFormat="false" ht="30" hidden="false" customHeight="true" outlineLevel="0" collapsed="false">
      <c r="A62" s="7"/>
      <c r="B62" s="8" t="s">
        <v>252</v>
      </c>
      <c r="C62" s="9" t="s">
        <v>253</v>
      </c>
      <c r="D62" s="10" t="s">
        <v>254</v>
      </c>
      <c r="E62" s="11" t="s">
        <v>13</v>
      </c>
      <c r="F62" s="12" t="s">
        <v>45</v>
      </c>
      <c r="G62" s="13" t="s">
        <v>44</v>
      </c>
      <c r="H62" s="14" t="s">
        <v>16</v>
      </c>
      <c r="I62" s="15" t="s">
        <v>255</v>
      </c>
    </row>
    <row r="63" customFormat="false" ht="30" hidden="false" customHeight="true" outlineLevel="0" collapsed="false">
      <c r="A63" s="16"/>
      <c r="B63" s="17" t="s">
        <v>256</v>
      </c>
      <c r="C63" s="18" t="s">
        <v>257</v>
      </c>
      <c r="D63" s="19" t="s">
        <v>258</v>
      </c>
      <c r="E63" s="20" t="s">
        <v>13</v>
      </c>
      <c r="F63" s="12" t="s">
        <v>259</v>
      </c>
      <c r="G63" s="13" t="s">
        <v>260</v>
      </c>
      <c r="H63" s="21" t="s">
        <v>16</v>
      </c>
      <c r="I63" s="22" t="s">
        <v>261</v>
      </c>
    </row>
    <row r="64" customFormat="false" ht="30" hidden="false" customHeight="true" outlineLevel="0" collapsed="false">
      <c r="A64" s="7"/>
      <c r="B64" s="8" t="s">
        <v>262</v>
      </c>
      <c r="C64" s="9" t="s">
        <v>263</v>
      </c>
      <c r="D64" s="10" t="s">
        <v>264</v>
      </c>
      <c r="E64" s="11" t="s">
        <v>265</v>
      </c>
      <c r="F64" s="12" t="s">
        <v>266</v>
      </c>
      <c r="G64" s="13" t="s">
        <v>267</v>
      </c>
      <c r="H64" s="14" t="s">
        <v>129</v>
      </c>
      <c r="I64" s="15" t="s">
        <v>268</v>
      </c>
    </row>
  </sheetData>
  <mergeCells count="9">
    <mergeCell ref="B2:I2"/>
    <mergeCell ref="B5:I5"/>
    <mergeCell ref="B15:I15"/>
    <mergeCell ref="B22:I22"/>
    <mergeCell ref="B30:I30"/>
    <mergeCell ref="B36:I36"/>
    <mergeCell ref="B45:I45"/>
    <mergeCell ref="B52:I52"/>
    <mergeCell ref="B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7" min="3" style="1" width="16"/>
    <col collapsed="false" customWidth="true" hidden="false" outlineLevel="0" max="8" min="8" style="1" width="18"/>
  </cols>
  <sheetData>
    <row r="2" customFormat="false" ht="39.75" hidden="false" customHeight="true" outlineLevel="0" collapsed="false">
      <c r="B2" s="23" t="s">
        <v>269</v>
      </c>
      <c r="C2" s="23"/>
      <c r="D2" s="23"/>
      <c r="E2" s="23"/>
      <c r="F2" s="23"/>
      <c r="G2" s="23"/>
      <c r="H2" s="23"/>
    </row>
    <row r="3" customFormat="false" ht="18" hidden="false" customHeight="true" outlineLevel="0" collapsed="false">
      <c r="B3" s="24" t="s">
        <v>270</v>
      </c>
      <c r="C3" s="24"/>
      <c r="D3" s="24"/>
      <c r="E3" s="24"/>
      <c r="F3" s="24"/>
      <c r="G3" s="24"/>
      <c r="H3" s="24"/>
    </row>
    <row r="5" customFormat="false" ht="21.75" hidden="false" customHeight="true" outlineLevel="0" collapsed="false">
      <c r="B5" s="25" t="s">
        <v>271</v>
      </c>
      <c r="C5" s="25"/>
      <c r="E5" s="25" t="s">
        <v>272</v>
      </c>
      <c r="F5" s="25"/>
      <c r="G5" s="25"/>
      <c r="H5" s="25"/>
    </row>
    <row r="6" customFormat="false" ht="24" hidden="false" customHeight="true" outlineLevel="0" collapsed="false">
      <c r="B6" s="26" t="s">
        <v>273</v>
      </c>
      <c r="C6" s="27" t="n">
        <v>5000000</v>
      </c>
      <c r="E6" s="28" t="s">
        <v>274</v>
      </c>
      <c r="F6" s="28" t="s">
        <v>275</v>
      </c>
      <c r="G6" s="28" t="s">
        <v>276</v>
      </c>
      <c r="H6" s="28" t="s">
        <v>277</v>
      </c>
    </row>
    <row r="7" customFormat="false" ht="19.5" hidden="false" customHeight="true" outlineLevel="0" collapsed="false">
      <c r="B7" s="26" t="s">
        <v>278</v>
      </c>
      <c r="C7" s="27" t="n">
        <v>3200000</v>
      </c>
      <c r="E7" s="29" t="s">
        <v>279</v>
      </c>
      <c r="F7" s="29"/>
      <c r="G7" s="29"/>
      <c r="H7" s="29"/>
    </row>
    <row r="8" customFormat="false" ht="24" hidden="false" customHeight="true" outlineLevel="0" collapsed="false">
      <c r="B8" s="26" t="s">
        <v>280</v>
      </c>
      <c r="C8" s="27" t="n">
        <v>180000</v>
      </c>
      <c r="E8" s="30" t="s">
        <v>10</v>
      </c>
      <c r="F8" s="31" t="n">
        <f aca="false">IF(C6=0,"-",(C6-C7)/C6)</f>
        <v>0.36</v>
      </c>
      <c r="G8" s="32" t="s">
        <v>281</v>
      </c>
      <c r="H8" s="33" t="s">
        <v>282</v>
      </c>
    </row>
    <row r="9" customFormat="false" ht="24" hidden="false" customHeight="true" outlineLevel="0" collapsed="false">
      <c r="B9" s="26" t="s">
        <v>283</v>
      </c>
      <c r="C9" s="27" t="n">
        <v>220000</v>
      </c>
      <c r="E9" s="30" t="s">
        <v>18</v>
      </c>
      <c r="F9" s="31" t="n">
        <f aca="false">IF(C6=0,"-",(C6-C7-C8-C9)/C6)</f>
        <v>0.28</v>
      </c>
      <c r="G9" s="32" t="s">
        <v>284</v>
      </c>
      <c r="H9" s="33" t="s">
        <v>285</v>
      </c>
    </row>
    <row r="10" customFormat="false" ht="24" hidden="false" customHeight="true" outlineLevel="0" collapsed="false">
      <c r="B10" s="26" t="s">
        <v>286</v>
      </c>
      <c r="C10" s="27" t="n">
        <v>150000</v>
      </c>
      <c r="E10" s="30" t="s">
        <v>24</v>
      </c>
      <c r="F10" s="31" t="n">
        <f aca="false">IF(C6=0,"-",(C6-C7-C8-C9-C10)/C6)</f>
        <v>0.25</v>
      </c>
      <c r="G10" s="32" t="s">
        <v>287</v>
      </c>
      <c r="H10" s="33" t="s">
        <v>288</v>
      </c>
    </row>
    <row r="11" customFormat="false" ht="24" hidden="false" customHeight="true" outlineLevel="0" collapsed="false">
      <c r="B11" s="26" t="s">
        <v>289</v>
      </c>
      <c r="C11" s="27" t="n">
        <v>35000</v>
      </c>
      <c r="E11" s="30" t="s">
        <v>290</v>
      </c>
      <c r="F11" s="34" t="n">
        <f aca="false">(C6-C7-C8-C9-C10-C11)*(1-C12)</f>
        <v>1020600</v>
      </c>
      <c r="G11" s="32" t="s">
        <v>291</v>
      </c>
      <c r="H11" s="33" t="s">
        <v>292</v>
      </c>
    </row>
    <row r="12" customFormat="false" ht="24" hidden="false" customHeight="true" outlineLevel="0" collapsed="false">
      <c r="B12" s="26" t="s">
        <v>293</v>
      </c>
      <c r="C12" s="35" t="n">
        <v>0.16</v>
      </c>
      <c r="E12" s="30" t="s">
        <v>30</v>
      </c>
      <c r="F12" s="31" t="n">
        <f aca="false">IF(C6=0,"-",(C6-C7-C8-C9-C10-C11)*(1-C12)/C6)</f>
        <v>0.20412</v>
      </c>
      <c r="G12" s="32" t="s">
        <v>294</v>
      </c>
      <c r="H12" s="33" t="s">
        <v>295</v>
      </c>
    </row>
    <row r="13" customFormat="false" ht="19.5" hidden="false" customHeight="true" outlineLevel="0" collapsed="false">
      <c r="E13" s="29" t="s">
        <v>296</v>
      </c>
      <c r="F13" s="29"/>
      <c r="G13" s="29"/>
      <c r="H13" s="29"/>
    </row>
    <row r="14" customFormat="false" ht="24" hidden="false" customHeight="true" outlineLevel="0" collapsed="false">
      <c r="B14" s="36" t="s">
        <v>297</v>
      </c>
      <c r="C14" s="36"/>
      <c r="E14" s="30" t="s">
        <v>59</v>
      </c>
      <c r="F14" s="37" t="n">
        <f aca="false">IF(C18=0,"-",C15/C18)</f>
        <v>2</v>
      </c>
      <c r="G14" s="32" t="s">
        <v>298</v>
      </c>
      <c r="H14" s="33" t="s">
        <v>299</v>
      </c>
    </row>
    <row r="15" customFormat="false" ht="24" hidden="false" customHeight="true" outlineLevel="0" collapsed="false">
      <c r="B15" s="26" t="s">
        <v>300</v>
      </c>
      <c r="C15" s="27" t="n">
        <v>2800000</v>
      </c>
      <c r="E15" s="30" t="s">
        <v>66</v>
      </c>
      <c r="F15" s="37" t="n">
        <f aca="false">IF(C18=0,"-",(C15-C16)/C18)</f>
        <v>1.57142857142857</v>
      </c>
      <c r="G15" s="32" t="s">
        <v>301</v>
      </c>
      <c r="H15" s="33" t="s">
        <v>302</v>
      </c>
    </row>
    <row r="16" customFormat="false" ht="24" hidden="false" customHeight="true" outlineLevel="0" collapsed="false">
      <c r="B16" s="26" t="s">
        <v>303</v>
      </c>
      <c r="C16" s="27" t="n">
        <v>600000</v>
      </c>
      <c r="E16" s="30" t="s">
        <v>304</v>
      </c>
      <c r="F16" s="34" t="n">
        <f aca="false">C15-C18</f>
        <v>1400000</v>
      </c>
      <c r="G16" s="32" t="s">
        <v>305</v>
      </c>
      <c r="H16" s="33" t="s">
        <v>292</v>
      </c>
    </row>
    <row r="17" customFormat="false" ht="19.5" hidden="false" customHeight="true" outlineLevel="0" collapsed="false">
      <c r="B17" s="26" t="s">
        <v>306</v>
      </c>
      <c r="C17" s="27" t="n">
        <v>950000</v>
      </c>
      <c r="E17" s="29" t="s">
        <v>307</v>
      </c>
      <c r="F17" s="29"/>
      <c r="G17" s="29"/>
      <c r="H17" s="29"/>
    </row>
    <row r="18" customFormat="false" ht="24" hidden="false" customHeight="true" outlineLevel="0" collapsed="false">
      <c r="B18" s="26" t="s">
        <v>308</v>
      </c>
      <c r="C18" s="27" t="n">
        <v>1400000</v>
      </c>
      <c r="E18" s="30" t="s">
        <v>89</v>
      </c>
      <c r="F18" s="38" t="n">
        <f aca="false">IF(C6=0,"-",C17/C6*365)</f>
        <v>69.35</v>
      </c>
      <c r="G18" s="32" t="s">
        <v>309</v>
      </c>
      <c r="H18" s="33" t="s">
        <v>310</v>
      </c>
    </row>
    <row r="19" customFormat="false" ht="24" hidden="false" customHeight="true" outlineLevel="0" collapsed="false">
      <c r="B19" s="26" t="s">
        <v>311</v>
      </c>
      <c r="C19" s="27" t="n">
        <v>420000</v>
      </c>
      <c r="E19" s="30" t="s">
        <v>96</v>
      </c>
      <c r="F19" s="38" t="n">
        <f aca="false">IF(C7=0,"-",C19/C7*365)</f>
        <v>47.90625</v>
      </c>
      <c r="G19" s="32" t="s">
        <v>99</v>
      </c>
      <c r="H19" s="33" t="s">
        <v>312</v>
      </c>
    </row>
    <row r="20" customFormat="false" ht="24" hidden="false" customHeight="true" outlineLevel="0" collapsed="false">
      <c r="B20" s="26" t="s">
        <v>313</v>
      </c>
      <c r="C20" s="27" t="n">
        <v>8500000</v>
      </c>
      <c r="E20" s="30" t="s">
        <v>102</v>
      </c>
      <c r="F20" s="38" t="n">
        <f aca="false">IF(C7=0,"-",C25/C7*365)</f>
        <v>66.15625</v>
      </c>
      <c r="G20" s="32" t="s">
        <v>314</v>
      </c>
      <c r="H20" s="33" t="s">
        <v>315</v>
      </c>
    </row>
    <row r="21" customFormat="false" ht="24" hidden="false" customHeight="true" outlineLevel="0" collapsed="false">
      <c r="B21" s="26" t="s">
        <v>316</v>
      </c>
      <c r="C21" s="27" t="n">
        <v>3200000</v>
      </c>
      <c r="E21" s="30" t="s">
        <v>108</v>
      </c>
      <c r="F21" s="38" t="n">
        <f aca="false">IF(C6=0,"-",(C17/C6*365)+(C25/IF(C7=0,1,C7)*365)-(C19/IF(C7=0,1,C7)*365))</f>
        <v>87.6</v>
      </c>
      <c r="G21" s="32" t="s">
        <v>317</v>
      </c>
      <c r="H21" s="33" t="s">
        <v>318</v>
      </c>
    </row>
    <row r="22" customFormat="false" ht="19.5" hidden="false" customHeight="true" outlineLevel="0" collapsed="false">
      <c r="B22" s="26" t="s">
        <v>319</v>
      </c>
      <c r="C22" s="27" t="n">
        <v>5300000</v>
      </c>
      <c r="E22" s="29" t="s">
        <v>320</v>
      </c>
      <c r="F22" s="29"/>
      <c r="G22" s="29"/>
      <c r="H22" s="29"/>
    </row>
    <row r="23" customFormat="false" ht="24" hidden="false" customHeight="true" outlineLevel="0" collapsed="false">
      <c r="B23" s="26" t="s">
        <v>321</v>
      </c>
      <c r="C23" s="27" t="n">
        <v>0</v>
      </c>
      <c r="E23" s="30" t="s">
        <v>126</v>
      </c>
      <c r="F23" s="37" t="n">
        <f aca="false">IF(C22=0,"-",C21/C22)</f>
        <v>0.60377358490566</v>
      </c>
      <c r="G23" s="32" t="s">
        <v>299</v>
      </c>
      <c r="H23" s="33" t="s">
        <v>322</v>
      </c>
    </row>
    <row r="24" customFormat="false" ht="24" hidden="false" customHeight="true" outlineLevel="0" collapsed="false">
      <c r="B24" s="26" t="s">
        <v>323</v>
      </c>
      <c r="C24" s="27" t="n">
        <v>85</v>
      </c>
      <c r="E24" s="30" t="s">
        <v>324</v>
      </c>
      <c r="F24" s="31" t="n">
        <f aca="false">IF(C20=0,"-",C21/C20)</f>
        <v>0.376470588235294</v>
      </c>
      <c r="G24" s="32" t="s">
        <v>325</v>
      </c>
      <c r="H24" s="33" t="s">
        <v>326</v>
      </c>
    </row>
    <row r="25" customFormat="false" ht="19.5" hidden="false" customHeight="true" outlineLevel="0" collapsed="false">
      <c r="B25" s="26" t="s">
        <v>327</v>
      </c>
      <c r="C25" s="27" t="n">
        <v>580000</v>
      </c>
      <c r="E25" s="29" t="s">
        <v>328</v>
      </c>
      <c r="F25" s="29"/>
      <c r="G25" s="29"/>
      <c r="H25" s="29"/>
    </row>
    <row r="26" customFormat="false" ht="24" hidden="false" customHeight="true" outlineLevel="0" collapsed="false">
      <c r="E26" s="30" t="s">
        <v>329</v>
      </c>
      <c r="F26" s="34" t="n">
        <f aca="false">IF(C24=0,"-",C6/C24)</f>
        <v>58823.5294117647</v>
      </c>
      <c r="G26" s="32" t="s">
        <v>291</v>
      </c>
      <c r="H26" s="33" t="s">
        <v>330</v>
      </c>
    </row>
    <row r="27" customFormat="false" ht="24" hidden="false" customHeight="true" outlineLevel="0" collapsed="false">
      <c r="E27" s="30" t="s">
        <v>331</v>
      </c>
      <c r="F27" s="34" t="n">
        <f aca="false">IF(C24=0,"-",(C6-C7-C8-C9)/C24)</f>
        <v>16470.5882352941</v>
      </c>
      <c r="G27" s="32" t="s">
        <v>291</v>
      </c>
      <c r="H27" s="33" t="s">
        <v>330</v>
      </c>
    </row>
  </sheetData>
  <mergeCells count="10">
    <mergeCell ref="B2:H2"/>
    <mergeCell ref="B3:H3"/>
    <mergeCell ref="B5:C5"/>
    <mergeCell ref="E5:H5"/>
    <mergeCell ref="E7:H7"/>
    <mergeCell ref="E13:H13"/>
    <mergeCell ref="B14:C14"/>
    <mergeCell ref="E17:H17"/>
    <mergeCell ref="E22:H22"/>
    <mergeCell ref="E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5" min="3" style="1" width="1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24"/>
  </cols>
  <sheetData>
    <row r="2" customFormat="false" ht="39.75" hidden="false" customHeight="true" outlineLevel="0" collapsed="false">
      <c r="B2" s="39" t="s">
        <v>332</v>
      </c>
      <c r="C2" s="39"/>
      <c r="D2" s="39"/>
      <c r="E2" s="39"/>
      <c r="F2" s="39"/>
      <c r="G2" s="39"/>
      <c r="H2" s="39"/>
    </row>
    <row r="3" customFormat="false" ht="18" hidden="false" customHeight="true" outlineLevel="0" collapsed="false">
      <c r="B3" s="24" t="s">
        <v>333</v>
      </c>
      <c r="C3" s="24"/>
      <c r="D3" s="24"/>
      <c r="E3" s="24"/>
      <c r="F3" s="24"/>
      <c r="G3" s="24"/>
      <c r="H3" s="24"/>
    </row>
    <row r="4" customFormat="false" ht="21.75" hidden="false" customHeight="true" outlineLevel="0" collapsed="false">
      <c r="A4" s="3"/>
      <c r="B4" s="3" t="s">
        <v>274</v>
      </c>
      <c r="C4" s="3" t="s">
        <v>334</v>
      </c>
      <c r="D4" s="3" t="s">
        <v>335</v>
      </c>
      <c r="E4" s="3" t="s">
        <v>336</v>
      </c>
      <c r="F4" s="3" t="s">
        <v>337</v>
      </c>
      <c r="G4" s="3" t="s">
        <v>338</v>
      </c>
      <c r="H4" s="3" t="s">
        <v>339</v>
      </c>
    </row>
    <row r="5" customFormat="false" ht="25.5" hidden="false" customHeight="true" outlineLevel="0" collapsed="false">
      <c r="A5" s="16"/>
      <c r="B5" s="17" t="s">
        <v>340</v>
      </c>
      <c r="C5" s="40" t="n">
        <v>5000000</v>
      </c>
      <c r="D5" s="41" t="n">
        <v>5240000</v>
      </c>
      <c r="E5" s="42" t="n">
        <f aca="false">IF(C5=0,"-",(D5-C5)/C5)</f>
        <v>0.048</v>
      </c>
      <c r="F5" s="43" t="str">
        <f aca="false">IF(D5&gt;=C5*0.95,"🟢 OK",IF(D5&gt;=C5*0.85,"🟡 ATENȚIE","🔴 ALERTĂ"))</f>
        <v>🟢 OK</v>
      </c>
      <c r="G5" s="44" t="s">
        <v>341</v>
      </c>
      <c r="H5" s="45" t="s">
        <v>342</v>
      </c>
    </row>
    <row r="6" customFormat="false" ht="25.5" hidden="false" customHeight="true" outlineLevel="0" collapsed="false">
      <c r="A6" s="7"/>
      <c r="B6" s="8" t="s">
        <v>10</v>
      </c>
      <c r="C6" s="46" t="n">
        <v>0.32</v>
      </c>
      <c r="D6" s="47" t="n">
        <v>0.31</v>
      </c>
      <c r="E6" s="48" t="n">
        <f aca="false">IF(C6=0,"-",(D6-C6)/C6)</f>
        <v>-0.03125</v>
      </c>
      <c r="F6" s="49" t="str">
        <f aca="false">IF(D6&gt;=C6*0.95,"🟢 OK",IF(D6&gt;=C6*0.85,"🟡 ATENȚIE","🔴 ALERTĂ"))</f>
        <v>🟢 OK</v>
      </c>
      <c r="G6" s="50" t="s">
        <v>343</v>
      </c>
      <c r="H6" s="51" t="s">
        <v>344</v>
      </c>
    </row>
    <row r="7" customFormat="false" ht="25.5" hidden="false" customHeight="true" outlineLevel="0" collapsed="false">
      <c r="A7" s="16"/>
      <c r="B7" s="17" t="s">
        <v>18</v>
      </c>
      <c r="C7" s="52" t="n">
        <v>0.18</v>
      </c>
      <c r="D7" s="47" t="n">
        <v>0.2</v>
      </c>
      <c r="E7" s="42" t="n">
        <f aca="false">IF(C7=0,"-",(D7-C7)/C7)</f>
        <v>0.111111111111111</v>
      </c>
      <c r="F7" s="43" t="str">
        <f aca="false">IF(D7&gt;=C7*0.95,"🟢 OK",IF(D7&gt;=C7*0.85,"🟡 ATENȚIE","🔴 ALERTĂ"))</f>
        <v>🟢 OK</v>
      </c>
      <c r="G7" s="44" t="s">
        <v>341</v>
      </c>
      <c r="H7" s="45" t="s">
        <v>345</v>
      </c>
    </row>
    <row r="8" customFormat="false" ht="25.5" hidden="false" customHeight="true" outlineLevel="0" collapsed="false">
      <c r="A8" s="7"/>
      <c r="B8" s="8" t="s">
        <v>30</v>
      </c>
      <c r="C8" s="46" t="n">
        <v>0.1</v>
      </c>
      <c r="D8" s="47" t="n">
        <v>0.09</v>
      </c>
      <c r="E8" s="48" t="n">
        <f aca="false">IF(C8=0,"-",(D8-C8)/C8)</f>
        <v>-0.1</v>
      </c>
      <c r="F8" s="49" t="str">
        <f aca="false">IF(D8&gt;=C8*0.95,"🟢 OK",IF(D8&gt;=C8*0.85,"🟡 ATENȚIE","🔴 ALERTĂ"))</f>
        <v>🟡 ATENȚIE</v>
      </c>
      <c r="G8" s="50" t="s">
        <v>343</v>
      </c>
      <c r="H8" s="51" t="s">
        <v>346</v>
      </c>
    </row>
    <row r="9" customFormat="false" ht="25.5" hidden="false" customHeight="true" outlineLevel="0" collapsed="false">
      <c r="A9" s="16"/>
      <c r="B9" s="17" t="s">
        <v>89</v>
      </c>
      <c r="C9" s="53" t="n">
        <v>45</v>
      </c>
      <c r="D9" s="54" t="n">
        <v>62</v>
      </c>
      <c r="E9" s="55" t="n">
        <f aca="false">D9-C9</f>
        <v>17</v>
      </c>
      <c r="F9" s="43" t="str">
        <f aca="false">IF(D9&lt;=C9*1.05,"🟢 OK",IF(D9&lt;=C9*1.15,"🟡 ATENȚIE","🔴 ALERTĂ"))</f>
        <v>🔴 ALERTĂ</v>
      </c>
      <c r="G9" s="56" t="s">
        <v>347</v>
      </c>
      <c r="H9" s="45" t="s">
        <v>348</v>
      </c>
    </row>
    <row r="10" customFormat="false" ht="25.5" hidden="false" customHeight="true" outlineLevel="0" collapsed="false">
      <c r="A10" s="7"/>
      <c r="B10" s="8" t="s">
        <v>96</v>
      </c>
      <c r="C10" s="57" t="n">
        <v>45</v>
      </c>
      <c r="D10" s="54" t="n">
        <v>38</v>
      </c>
      <c r="E10" s="58" t="n">
        <f aca="false">D10-C10</f>
        <v>-7</v>
      </c>
      <c r="F10" s="49" t="str">
        <f aca="false">IF(D10&gt;=C10*0.95,"🟢 OK",IF(D10&gt;=C10*0.85,"🟡 ATENȚIE","🔴 ALERTĂ"))</f>
        <v>🔴 ALERTĂ</v>
      </c>
      <c r="G10" s="50" t="s">
        <v>343</v>
      </c>
      <c r="H10" s="51" t="s">
        <v>349</v>
      </c>
    </row>
    <row r="11" customFormat="false" ht="25.5" hidden="false" customHeight="true" outlineLevel="0" collapsed="false">
      <c r="A11" s="16"/>
      <c r="B11" s="17" t="s">
        <v>59</v>
      </c>
      <c r="C11" s="59" t="n">
        <v>2</v>
      </c>
      <c r="D11" s="60" t="n">
        <v>2.1</v>
      </c>
      <c r="E11" s="55" t="n">
        <f aca="false">D11-C11</f>
        <v>0.1</v>
      </c>
      <c r="F11" s="43" t="str">
        <f aca="false">IF(D11&gt;=C11*0.95,"🟢 OK",IF(D11&gt;=C11*0.85,"🟡 ATENȚIE","🔴 ALERTĂ"))</f>
        <v>🟢 OK</v>
      </c>
      <c r="G11" s="44" t="s">
        <v>341</v>
      </c>
      <c r="H11" s="45" t="s">
        <v>350</v>
      </c>
    </row>
    <row r="12" customFormat="false" ht="25.5" hidden="false" customHeight="true" outlineLevel="0" collapsed="false">
      <c r="A12" s="7"/>
      <c r="B12" s="8" t="s">
        <v>126</v>
      </c>
      <c r="C12" s="61" t="n">
        <v>1</v>
      </c>
      <c r="D12" s="60" t="n">
        <v>0.8</v>
      </c>
      <c r="E12" s="58" t="n">
        <f aca="false">D12-C12</f>
        <v>-0.2</v>
      </c>
      <c r="F12" s="49" t="str">
        <f aca="false">IF(D12&lt;=C12*1.05,"🟢 OK",IF(D12&lt;=C12*1.15,"🟡 ATENȚIE","🔴 ALERTĂ"))</f>
        <v>🟢 OK</v>
      </c>
      <c r="G12" s="62" t="s">
        <v>341</v>
      </c>
      <c r="H12" s="51" t="s">
        <v>351</v>
      </c>
    </row>
    <row r="13" customFormat="false" ht="25.5" hidden="false" customHeight="true" outlineLevel="0" collapsed="false">
      <c r="A13" s="16"/>
      <c r="B13" s="17" t="s">
        <v>193</v>
      </c>
      <c r="C13" s="52" t="n">
        <v>0.25</v>
      </c>
      <c r="D13" s="47" t="n">
        <v>0.26</v>
      </c>
      <c r="E13" s="42" t="n">
        <f aca="false">IF(C13=0,"-",(D13-C13)/C13)</f>
        <v>0.04</v>
      </c>
      <c r="F13" s="43" t="str">
        <f aca="false">IF(D13&lt;=C13*1.05,"🟢 OK",IF(D13&lt;=C13*1.15,"🟡 ATENȚIE","🔴 ALERTĂ"))</f>
        <v>🟢 OK</v>
      </c>
      <c r="G13" s="63" t="s">
        <v>343</v>
      </c>
      <c r="H13" s="45" t="s">
        <v>352</v>
      </c>
    </row>
    <row r="14" customFormat="false" ht="25.5" hidden="false" customHeight="true" outlineLevel="0" collapsed="false">
      <c r="A14" s="7"/>
      <c r="B14" s="8" t="s">
        <v>353</v>
      </c>
      <c r="C14" s="64" t="n">
        <v>50</v>
      </c>
      <c r="D14" s="65" t="n">
        <v>42</v>
      </c>
      <c r="E14" s="58" t="n">
        <f aca="false">D14-C14</f>
        <v>-8</v>
      </c>
      <c r="F14" s="49" t="str">
        <f aca="false">IF(D14&gt;=C14*0.95,"🟢 OK",IF(D14&gt;=C14*0.85,"🟡 ATENȚIE","🔴 ALERTĂ"))</f>
        <v>🔴 ALERTĂ</v>
      </c>
      <c r="G14" s="66" t="s">
        <v>347</v>
      </c>
      <c r="H14" s="51" t="s">
        <v>354</v>
      </c>
    </row>
    <row r="16" customFormat="false" ht="19.5" hidden="false" customHeight="true" outlineLevel="0" collapsed="false">
      <c r="B16" s="67" t="s">
        <v>355</v>
      </c>
      <c r="C16" s="67"/>
      <c r="D16" s="67"/>
      <c r="E16" s="67"/>
      <c r="F16" s="67"/>
      <c r="G16" s="67"/>
      <c r="H16" s="67"/>
    </row>
  </sheetData>
  <mergeCells count="3">
    <mergeCell ref="B2:H2"/>
    <mergeCell ref="B3:H3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5" min="5" style="1" width="30"/>
  </cols>
  <sheetData>
    <row r="2" customFormat="false" ht="36" hidden="false" customHeight="true" outlineLevel="0" collapsed="false">
      <c r="B2" s="68" t="s">
        <v>356</v>
      </c>
      <c r="C2" s="68"/>
      <c r="D2" s="68"/>
      <c r="E2" s="68"/>
    </row>
    <row r="4" customFormat="false" ht="21.75" hidden="false" customHeight="true" outlineLevel="0" collapsed="false">
      <c r="B4" s="4" t="s">
        <v>357</v>
      </c>
      <c r="C4" s="4" t="s">
        <v>358</v>
      </c>
      <c r="D4" s="4" t="s">
        <v>359</v>
      </c>
      <c r="E4" s="4" t="s">
        <v>360</v>
      </c>
    </row>
    <row r="5" customFormat="false" ht="21.75" hidden="false" customHeight="true" outlineLevel="0" collapsed="false">
      <c r="B5" s="6" t="s">
        <v>361</v>
      </c>
      <c r="C5" s="6"/>
      <c r="D5" s="6"/>
      <c r="E5" s="6"/>
    </row>
    <row r="6" customFormat="false" ht="37.5" hidden="false" customHeight="true" outlineLevel="0" collapsed="false">
      <c r="A6" s="7"/>
      <c r="B6" s="8" t="s">
        <v>362</v>
      </c>
      <c r="C6" s="69" t="s">
        <v>363</v>
      </c>
      <c r="D6" s="70" t="s">
        <v>364</v>
      </c>
      <c r="E6" s="15" t="s">
        <v>365</v>
      </c>
    </row>
    <row r="7" customFormat="false" ht="37.5" hidden="false" customHeight="true" outlineLevel="0" collapsed="false">
      <c r="A7" s="16"/>
      <c r="B7" s="17" t="s">
        <v>366</v>
      </c>
      <c r="C7" s="71" t="s">
        <v>367</v>
      </c>
      <c r="D7" s="72" t="s">
        <v>368</v>
      </c>
      <c r="E7" s="22" t="s">
        <v>369</v>
      </c>
    </row>
    <row r="8" customFormat="false" ht="37.5" hidden="false" customHeight="true" outlineLevel="0" collapsed="false">
      <c r="A8" s="7"/>
      <c r="B8" s="8" t="s">
        <v>370</v>
      </c>
      <c r="C8" s="69" t="s">
        <v>371</v>
      </c>
      <c r="D8" s="70" t="s">
        <v>372</v>
      </c>
      <c r="E8" s="15" t="s">
        <v>373</v>
      </c>
    </row>
    <row r="9" customFormat="false" ht="21.75" hidden="false" customHeight="true" outlineLevel="0" collapsed="false">
      <c r="B9" s="6" t="s">
        <v>374</v>
      </c>
      <c r="C9" s="6"/>
      <c r="D9" s="6"/>
      <c r="E9" s="6"/>
    </row>
    <row r="10" customFormat="false" ht="37.5" hidden="false" customHeight="true" outlineLevel="0" collapsed="false">
      <c r="A10" s="7"/>
      <c r="B10" s="8" t="s">
        <v>375</v>
      </c>
      <c r="C10" s="69" t="s">
        <v>376</v>
      </c>
      <c r="D10" s="70" t="s">
        <v>377</v>
      </c>
      <c r="E10" s="15" t="s">
        <v>378</v>
      </c>
    </row>
    <row r="11" customFormat="false" ht="37.5" hidden="false" customHeight="true" outlineLevel="0" collapsed="false">
      <c r="A11" s="16"/>
      <c r="B11" s="17" t="s">
        <v>379</v>
      </c>
      <c r="C11" s="71" t="s">
        <v>380</v>
      </c>
      <c r="D11" s="72" t="s">
        <v>381</v>
      </c>
      <c r="E11" s="22" t="s">
        <v>382</v>
      </c>
    </row>
    <row r="12" customFormat="false" ht="37.5" hidden="false" customHeight="true" outlineLevel="0" collapsed="false">
      <c r="A12" s="7"/>
      <c r="B12" s="8" t="s">
        <v>383</v>
      </c>
      <c r="C12" s="69" t="s">
        <v>384</v>
      </c>
      <c r="D12" s="70" t="s">
        <v>385</v>
      </c>
      <c r="E12" s="15" t="s">
        <v>386</v>
      </c>
    </row>
    <row r="13" customFormat="false" ht="37.5" hidden="false" customHeight="true" outlineLevel="0" collapsed="false">
      <c r="A13" s="16"/>
      <c r="B13" s="17" t="s">
        <v>387</v>
      </c>
      <c r="C13" s="71" t="s">
        <v>388</v>
      </c>
      <c r="D13" s="72" t="s">
        <v>389</v>
      </c>
      <c r="E13" s="22" t="s">
        <v>390</v>
      </c>
    </row>
    <row r="14" customFormat="false" ht="21.75" hidden="false" customHeight="true" outlineLevel="0" collapsed="false">
      <c r="B14" s="6" t="s">
        <v>391</v>
      </c>
      <c r="C14" s="6"/>
      <c r="D14" s="6"/>
      <c r="E14" s="6"/>
    </row>
    <row r="15" customFormat="false" ht="37.5" hidden="false" customHeight="true" outlineLevel="0" collapsed="false">
      <c r="A15" s="16"/>
      <c r="B15" s="17" t="s">
        <v>392</v>
      </c>
      <c r="C15" s="71" t="s">
        <v>393</v>
      </c>
      <c r="D15" s="72" t="s">
        <v>394</v>
      </c>
      <c r="E15" s="22" t="s">
        <v>395</v>
      </c>
    </row>
    <row r="16" customFormat="false" ht="37.5" hidden="false" customHeight="true" outlineLevel="0" collapsed="false">
      <c r="A16" s="7"/>
      <c r="B16" s="8" t="s">
        <v>396</v>
      </c>
      <c r="C16" s="69" t="s">
        <v>397</v>
      </c>
      <c r="D16" s="70" t="s">
        <v>398</v>
      </c>
      <c r="E16" s="15" t="s">
        <v>399</v>
      </c>
    </row>
    <row r="17" customFormat="false" ht="37.5" hidden="false" customHeight="true" outlineLevel="0" collapsed="false">
      <c r="A17" s="16"/>
      <c r="B17" s="17" t="s">
        <v>400</v>
      </c>
      <c r="C17" s="71" t="s">
        <v>401</v>
      </c>
      <c r="D17" s="72" t="s">
        <v>402</v>
      </c>
      <c r="E17" s="22" t="s">
        <v>403</v>
      </c>
    </row>
    <row r="18" customFormat="false" ht="21.75" hidden="false" customHeight="true" outlineLevel="0" collapsed="false">
      <c r="B18" s="6" t="s">
        <v>404</v>
      </c>
      <c r="C18" s="6"/>
      <c r="D18" s="6"/>
      <c r="E18" s="6"/>
    </row>
    <row r="19" customFormat="false" ht="37.5" hidden="false" customHeight="true" outlineLevel="0" collapsed="false">
      <c r="A19" s="16"/>
      <c r="B19" s="17" t="s">
        <v>405</v>
      </c>
      <c r="C19" s="71" t="s">
        <v>406</v>
      </c>
      <c r="D19" s="72" t="s">
        <v>407</v>
      </c>
      <c r="E19" s="22" t="s">
        <v>408</v>
      </c>
    </row>
    <row r="20" customFormat="false" ht="37.5" hidden="false" customHeight="true" outlineLevel="0" collapsed="false">
      <c r="A20" s="7"/>
      <c r="B20" s="8" t="s">
        <v>409</v>
      </c>
      <c r="C20" s="69" t="s">
        <v>410</v>
      </c>
      <c r="D20" s="70" t="s">
        <v>411</v>
      </c>
      <c r="E20" s="15" t="s">
        <v>412</v>
      </c>
    </row>
    <row r="21" customFormat="false" ht="37.5" hidden="false" customHeight="true" outlineLevel="0" collapsed="false">
      <c r="A21" s="16"/>
      <c r="B21" s="17" t="s">
        <v>413</v>
      </c>
      <c r="C21" s="71" t="s">
        <v>414</v>
      </c>
      <c r="D21" s="72" t="s">
        <v>415</v>
      </c>
      <c r="E21" s="22" t="s">
        <v>416</v>
      </c>
    </row>
    <row r="22" customFormat="false" ht="37.5" hidden="false" customHeight="true" outlineLevel="0" collapsed="false">
      <c r="A22" s="7"/>
      <c r="B22" s="8" t="s">
        <v>417</v>
      </c>
      <c r="C22" s="69" t="s">
        <v>418</v>
      </c>
      <c r="D22" s="70" t="s">
        <v>419</v>
      </c>
      <c r="E22" s="15" t="s">
        <v>420</v>
      </c>
    </row>
    <row r="23" customFormat="false" ht="21.75" hidden="false" customHeight="true" outlineLevel="0" collapsed="false">
      <c r="B23" s="6" t="s">
        <v>421</v>
      </c>
      <c r="C23" s="6"/>
      <c r="D23" s="6"/>
      <c r="E23" s="6"/>
    </row>
    <row r="24" customFormat="false" ht="37.5" hidden="false" customHeight="true" outlineLevel="0" collapsed="false">
      <c r="A24" s="7"/>
      <c r="B24" s="8" t="s">
        <v>422</v>
      </c>
      <c r="C24" s="69" t="s">
        <v>423</v>
      </c>
      <c r="D24" s="70" t="s">
        <v>424</v>
      </c>
      <c r="E24" s="15" t="s">
        <v>425</v>
      </c>
    </row>
    <row r="25" customFormat="false" ht="37.5" hidden="false" customHeight="true" outlineLevel="0" collapsed="false">
      <c r="A25" s="16"/>
      <c r="B25" s="17" t="s">
        <v>426</v>
      </c>
      <c r="C25" s="71" t="s">
        <v>427</v>
      </c>
      <c r="D25" s="72" t="s">
        <v>428</v>
      </c>
      <c r="E25" s="22" t="s">
        <v>429</v>
      </c>
    </row>
    <row r="26" customFormat="false" ht="37.5" hidden="false" customHeight="true" outlineLevel="0" collapsed="false">
      <c r="A26" s="7"/>
      <c r="B26" s="8" t="s">
        <v>430</v>
      </c>
      <c r="C26" s="69" t="s">
        <v>431</v>
      </c>
      <c r="D26" s="70" t="s">
        <v>432</v>
      </c>
      <c r="E26" s="15" t="s">
        <v>433</v>
      </c>
    </row>
  </sheetData>
  <mergeCells count="6">
    <mergeCell ref="B2:E2"/>
    <mergeCell ref="B5:E5"/>
    <mergeCell ref="B9:E9"/>
    <mergeCell ref="B14:E14"/>
    <mergeCell ref="B18:E18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5"/>
  </cols>
  <sheetData>
    <row r="2" customFormat="false" ht="39.75" hidden="false" customHeight="true" outlineLevel="0" collapsed="false">
      <c r="B2" s="73" t="s">
        <v>434</v>
      </c>
    </row>
    <row r="3" customFormat="false" ht="27.75" hidden="false" customHeight="true" outlineLevel="0" collapsed="false">
      <c r="B3" s="74"/>
    </row>
    <row r="4" customFormat="false" ht="21.75" hidden="false" customHeight="true" outlineLevel="0" collapsed="false">
      <c r="B4" s="75" t="s">
        <v>435</v>
      </c>
    </row>
    <row r="5" customFormat="false" ht="27.75" hidden="false" customHeight="true" outlineLevel="0" collapsed="false">
      <c r="B5" s="74" t="s">
        <v>436</v>
      </c>
    </row>
    <row r="6" customFormat="false" ht="27.75" hidden="false" customHeight="true" outlineLevel="0" collapsed="false">
      <c r="B6" s="74" t="s">
        <v>437</v>
      </c>
    </row>
    <row r="7" customFormat="false" ht="27.75" hidden="false" customHeight="true" outlineLevel="0" collapsed="false">
      <c r="B7" s="74" t="s">
        <v>438</v>
      </c>
    </row>
    <row r="8" customFormat="false" ht="27.75" hidden="false" customHeight="true" outlineLevel="0" collapsed="false">
      <c r="B8" s="74"/>
    </row>
    <row r="9" customFormat="false" ht="21.75" hidden="false" customHeight="true" outlineLevel="0" collapsed="false">
      <c r="B9" s="75" t="s">
        <v>439</v>
      </c>
    </row>
    <row r="10" customFormat="false" ht="27.75" hidden="false" customHeight="true" outlineLevel="0" collapsed="false">
      <c r="B10" s="74" t="s">
        <v>440</v>
      </c>
    </row>
    <row r="11" customFormat="false" ht="27.75" hidden="false" customHeight="true" outlineLevel="0" collapsed="false">
      <c r="B11" s="74" t="s">
        <v>441</v>
      </c>
    </row>
    <row r="12" customFormat="false" ht="27.75" hidden="false" customHeight="true" outlineLevel="0" collapsed="false">
      <c r="B12" s="74" t="s">
        <v>442</v>
      </c>
    </row>
    <row r="13" customFormat="false" ht="27.75" hidden="false" customHeight="true" outlineLevel="0" collapsed="false">
      <c r="B13" s="74"/>
    </row>
    <row r="14" customFormat="false" ht="21.75" hidden="false" customHeight="true" outlineLevel="0" collapsed="false">
      <c r="B14" s="75" t="s">
        <v>443</v>
      </c>
    </row>
    <row r="15" customFormat="false" ht="27.75" hidden="false" customHeight="true" outlineLevel="0" collapsed="false">
      <c r="B15" s="74" t="s">
        <v>444</v>
      </c>
    </row>
    <row r="16" customFormat="false" ht="27.75" hidden="false" customHeight="true" outlineLevel="0" collapsed="false">
      <c r="B16" s="74" t="s">
        <v>445</v>
      </c>
    </row>
    <row r="17" customFormat="false" ht="27.75" hidden="false" customHeight="true" outlineLevel="0" collapsed="false">
      <c r="B17" s="74" t="s">
        <v>446</v>
      </c>
    </row>
    <row r="18" customFormat="false" ht="27.75" hidden="false" customHeight="true" outlineLevel="0" collapsed="false">
      <c r="B18" s="74" t="s">
        <v>447</v>
      </c>
    </row>
    <row r="19" customFormat="false" ht="27.75" hidden="false" customHeight="true" outlineLevel="0" collapsed="false">
      <c r="B19" s="74"/>
    </row>
    <row r="20" customFormat="false" ht="21.75" hidden="false" customHeight="true" outlineLevel="0" collapsed="false">
      <c r="B20" s="75" t="s">
        <v>448</v>
      </c>
    </row>
    <row r="21" customFormat="false" ht="27.75" hidden="false" customHeight="true" outlineLevel="0" collapsed="false">
      <c r="B21" s="74" t="s">
        <v>449</v>
      </c>
    </row>
    <row r="22" customFormat="false" ht="27.75" hidden="false" customHeight="true" outlineLevel="0" collapsed="false">
      <c r="B22" s="74" t="s">
        <v>450</v>
      </c>
    </row>
    <row r="23" customFormat="false" ht="27.75" hidden="false" customHeight="true" outlineLevel="0" collapsed="false">
      <c r="B23" s="74"/>
    </row>
    <row r="24" customFormat="false" ht="21.75" hidden="false" customHeight="true" outlineLevel="0" collapsed="false">
      <c r="B24" s="75" t="s">
        <v>451</v>
      </c>
    </row>
    <row r="25" customFormat="false" ht="27.75" hidden="false" customHeight="true" outlineLevel="0" collapsed="false">
      <c r="B25" s="74" t="s">
        <v>452</v>
      </c>
    </row>
    <row r="26" customFormat="false" ht="27.75" hidden="false" customHeight="true" outlineLevel="0" collapsed="false">
      <c r="B26" s="74" t="s">
        <v>453</v>
      </c>
    </row>
    <row r="27" customFormat="false" ht="27.75" hidden="false" customHeight="true" outlineLevel="0" collapsed="false">
      <c r="B27" s="74" t="s">
        <v>454</v>
      </c>
    </row>
    <row r="28" customFormat="false" ht="27.75" hidden="false" customHeight="true" outlineLevel="0" collapsed="false">
      <c r="B28" s="74" t="s">
        <v>455</v>
      </c>
    </row>
    <row r="29" customFormat="false" ht="27.75" hidden="false" customHeight="true" outlineLevel="0" collapsed="false">
      <c r="B29" s="74"/>
    </row>
    <row r="30" customFormat="false" ht="21.75" hidden="false" customHeight="true" outlineLevel="0" collapsed="false">
      <c r="B30" s="75" t="s">
        <v>456</v>
      </c>
    </row>
    <row r="31" customFormat="false" ht="27.75" hidden="false" customHeight="true" outlineLevel="0" collapsed="false">
      <c r="B31" s="74" t="s">
        <v>457</v>
      </c>
    </row>
    <row r="32" customFormat="false" ht="27.75" hidden="false" customHeight="true" outlineLevel="0" collapsed="false">
      <c r="B32" s="74" t="s">
        <v>458</v>
      </c>
    </row>
    <row r="33" customFormat="false" ht="27.75" hidden="false" customHeight="true" outlineLevel="0" collapsed="false">
      <c r="B33" s="74" t="s">
        <v>459</v>
      </c>
    </row>
    <row r="34" customFormat="false" ht="27.75" hidden="false" customHeight="true" outlineLevel="0" collapsed="false">
      <c r="B34" s="74" t="s">
        <v>460</v>
      </c>
    </row>
    <row r="35" customFormat="false" ht="27.75" hidden="false" customHeight="true" outlineLevel="0" collapsed="false">
      <c r="B35" s="74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2026-06-02T15:02:23Z</dcterms:created>
  <dc:creator>openpyxl</dc:creator>
  <dc:description/>
  <dc:language>en-US</dc:language>
  <cp:lastModifiedBy/>
  <dcterms:modified xsi:type="dcterms:W3CDTF">2026-06-02T15:02:44Z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